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Ham Radio\HamSCI_Frontiers Paper 2025\Frontiers Nathaniel Timestamp Verify_27dec25\"/>
    </mc:Choice>
  </mc:AlternateContent>
  <xr:revisionPtr revIDLastSave="0" documentId="13_ncr:1_{423A1C47-8E22-4FA1-B530-27D700001487}" xr6:coauthVersionLast="47" xr6:coauthVersionMax="47" xr10:uidLastSave="{00000000-0000-0000-0000-000000000000}"/>
  <bookViews>
    <workbookView xWindow="-28920" yWindow="-120" windowWidth="29040" windowHeight="16440" xr2:uid="{02B9E5FD-2FD0-4ABC-AC99-412B8C5FDCA4}"/>
  </bookViews>
  <sheets>
    <sheet name="Verified" sheetId="3" r:id="rId1"/>
    <sheet name="From Nathaniel" sheetId="1" r:id="rId2"/>
    <sheet name="My data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K38" i="2" s="1"/>
  <c r="H38" i="2"/>
  <c r="I38" i="2" s="1"/>
  <c r="J37" i="2"/>
  <c r="K37" i="2" s="1"/>
  <c r="H37" i="2"/>
  <c r="I37" i="2" s="1"/>
  <c r="J36" i="2"/>
  <c r="K36" i="2" s="1"/>
  <c r="H36" i="2"/>
  <c r="I36" i="2" s="1"/>
  <c r="J35" i="2"/>
  <c r="K35" i="2" s="1"/>
  <c r="H35" i="2"/>
  <c r="I35" i="2" s="1"/>
  <c r="J34" i="2"/>
  <c r="K34" i="2" s="1"/>
  <c r="H34" i="2"/>
  <c r="I34" i="2" s="1"/>
  <c r="J33" i="2"/>
  <c r="K33" i="2" s="1"/>
  <c r="H33" i="2"/>
  <c r="I33" i="2" s="1"/>
  <c r="J32" i="2"/>
  <c r="K32" i="2" s="1"/>
  <c r="H32" i="2"/>
  <c r="I32" i="2" s="1"/>
  <c r="J31" i="2"/>
  <c r="K31" i="2" s="1"/>
  <c r="H31" i="2"/>
  <c r="I31" i="2" s="1"/>
  <c r="J30" i="2"/>
  <c r="K30" i="2" s="1"/>
  <c r="H30" i="2"/>
  <c r="I30" i="2" s="1"/>
  <c r="K29" i="2"/>
  <c r="J29" i="2"/>
  <c r="H29" i="2"/>
  <c r="I29" i="2" s="1"/>
  <c r="J28" i="2"/>
  <c r="K28" i="2" s="1"/>
  <c r="H28" i="2"/>
  <c r="I28" i="2" s="1"/>
  <c r="J27" i="2"/>
  <c r="K27" i="2" s="1"/>
  <c r="H27" i="2"/>
  <c r="I27" i="2" s="1"/>
  <c r="J26" i="2"/>
  <c r="K26" i="2" s="1"/>
  <c r="H26" i="2"/>
  <c r="I26" i="2" s="1"/>
  <c r="K25" i="2"/>
  <c r="J25" i="2"/>
  <c r="H25" i="2"/>
  <c r="I25" i="2" s="1"/>
  <c r="J24" i="2"/>
  <c r="K24" i="2" s="1"/>
  <c r="H24" i="2"/>
  <c r="I24" i="2" s="1"/>
  <c r="K23" i="2"/>
  <c r="J23" i="2"/>
  <c r="H23" i="2"/>
  <c r="I23" i="2" s="1"/>
  <c r="J22" i="2"/>
  <c r="K22" i="2" s="1"/>
  <c r="H22" i="2"/>
  <c r="I22" i="2" s="1"/>
  <c r="K21" i="2"/>
  <c r="J21" i="2"/>
  <c r="H21" i="2"/>
  <c r="I21" i="2" s="1"/>
  <c r="J20" i="2"/>
  <c r="K20" i="2" s="1"/>
  <c r="H20" i="2"/>
  <c r="I20" i="2" s="1"/>
  <c r="J19" i="2"/>
  <c r="K19" i="2" s="1"/>
  <c r="H19" i="2"/>
  <c r="I19" i="2" s="1"/>
  <c r="J18" i="2"/>
  <c r="K18" i="2" s="1"/>
  <c r="H18" i="2"/>
  <c r="I18" i="2" s="1"/>
  <c r="K17" i="2"/>
  <c r="J17" i="2"/>
  <c r="H17" i="2"/>
  <c r="I17" i="2" s="1"/>
  <c r="J16" i="2"/>
  <c r="K16" i="2" s="1"/>
  <c r="H16" i="2"/>
  <c r="I16" i="2" s="1"/>
  <c r="K15" i="2"/>
  <c r="J15" i="2"/>
  <c r="H15" i="2"/>
  <c r="I15" i="2" s="1"/>
  <c r="J14" i="2"/>
  <c r="K14" i="2" s="1"/>
  <c r="H14" i="2"/>
  <c r="I14" i="2" s="1"/>
  <c r="K13" i="2"/>
  <c r="J13" i="2"/>
  <c r="H13" i="2"/>
  <c r="I13" i="2" s="1"/>
  <c r="J12" i="2"/>
  <c r="K12" i="2" s="1"/>
  <c r="I12" i="2"/>
  <c r="H12" i="2"/>
  <c r="J11" i="2"/>
  <c r="K11" i="2" s="1"/>
  <c r="H11" i="2"/>
  <c r="I11" i="2" s="1"/>
  <c r="J10" i="2"/>
  <c r="K10" i="2" s="1"/>
  <c r="H10" i="2"/>
  <c r="I10" i="2" s="1"/>
  <c r="K9" i="2"/>
  <c r="J9" i="2"/>
  <c r="H9" i="2"/>
  <c r="I9" i="2" s="1"/>
  <c r="J8" i="2"/>
  <c r="K8" i="2" s="1"/>
  <c r="H8" i="2"/>
  <c r="I8" i="2" s="1"/>
  <c r="J7" i="2"/>
  <c r="K7" i="2" s="1"/>
  <c r="H7" i="2"/>
  <c r="I7" i="2" s="1"/>
  <c r="J6" i="2"/>
  <c r="K6" i="2" s="1"/>
  <c r="H6" i="2"/>
  <c r="I6" i="2" s="1"/>
  <c r="K5" i="2"/>
  <c r="J5" i="2"/>
  <c r="H5" i="2"/>
  <c r="I5" i="2" s="1"/>
  <c r="J4" i="2"/>
  <c r="K4" i="2" s="1"/>
  <c r="I4" i="2"/>
  <c r="H4" i="2"/>
</calcChain>
</file>

<file path=xl/sharedStrings.xml><?xml version="1.0" encoding="utf-8"?>
<sst xmlns="http://schemas.openxmlformats.org/spreadsheetml/2006/main" count="60" uniqueCount="54">
  <si>
    <t>utc</t>
  </si>
  <si>
    <t>manualBeatNote_TDOA_ms</t>
  </si>
  <si>
    <t>autoCorrelation_TDOA_ms</t>
  </si>
  <si>
    <t>Recording Name</t>
  </si>
  <si>
    <t>Chirp Start</t>
  </si>
  <si>
    <t>Peak Time</t>
  </si>
  <si>
    <t>Peak Amp</t>
  </si>
  <si>
    <t>Delay Pk Time</t>
  </si>
  <si>
    <t>Delay Pk Amp</t>
  </si>
  <si>
    <t>TDOA(sec)</t>
  </si>
  <si>
    <t>Time</t>
  </si>
  <si>
    <t>Time(UTC)</t>
  </si>
  <si>
    <t>TDOA(ms)</t>
  </si>
  <si>
    <t>Altitude (km)</t>
  </si>
  <si>
    <t>240408_1407_7265_1kW_WA5FRF.wav</t>
  </si>
  <si>
    <t>240408_1413_7265_1kW_WA5FRF.wav</t>
  </si>
  <si>
    <t>240408_1423_7265_1kW_WA5FRF.wav</t>
  </si>
  <si>
    <t>240408_1433_7265_1kW_WA5FRF.wav</t>
  </si>
  <si>
    <t>240408_1443_7265_1kW_WA5FRF.wav</t>
  </si>
  <si>
    <t>240408_1453_7265_1kW_WA5FRF.wav</t>
  </si>
  <si>
    <t>240408_1454_7265_1kW_WA5FRF.wav</t>
  </si>
  <si>
    <t>240408_1503_7265_1kW_WA5FRF.wav</t>
  </si>
  <si>
    <t>240408_1513_7265_1kW_WA5FRF.wav</t>
  </si>
  <si>
    <t>240408_1523_7265_1kW_WA5FRF.wav</t>
  </si>
  <si>
    <t>240408_1533_7265_1kW_WA5FRF.wav</t>
  </si>
  <si>
    <t>240408_1543_7265_1kW_WA5FRF.wav</t>
  </si>
  <si>
    <t>240408_1554_7265_1kW_WA5FRF.wav</t>
  </si>
  <si>
    <t>240408_1613_7265_1kW_WA5FRF.wav</t>
  </si>
  <si>
    <t>240408_1623_7265_1kW_WA5FRF.wav</t>
  </si>
  <si>
    <t>240408_1633_7265_1kW_WA5FRF.wav</t>
  </si>
  <si>
    <t>240408_1644_7265_1kW_WA5FRF.wav</t>
  </si>
  <si>
    <t>240408_1653_7265_1kW_WA5FRF.wav</t>
  </si>
  <si>
    <t>240408_1703_7265_1kW_WA5FRF.wav</t>
  </si>
  <si>
    <t>240408_1713_7265_1kW_WA5FRF.wav</t>
  </si>
  <si>
    <t>240408_1723_7265_1kW_WA5FRF.wav</t>
  </si>
  <si>
    <t>240408_1733_7265_1kW_WA5FRF.wav</t>
  </si>
  <si>
    <t>240408_1753_7265_1kW_WA5FRF.wav</t>
  </si>
  <si>
    <t>240408_1803_7265_1kW_WA5FRF.wav</t>
  </si>
  <si>
    <t>240408_1813_7265_1kW_WA5FRF.wav</t>
  </si>
  <si>
    <t>240408_1823_7265_1kW_WA5FRF.wav</t>
  </si>
  <si>
    <t>240408_1833_7265_1kW_WA5FRF.wav</t>
  </si>
  <si>
    <t>240408_1843_7265_1kW_WA5FRF.wav</t>
  </si>
  <si>
    <t>240408_1853_7265_1kW_WA5FRF.wav</t>
  </si>
  <si>
    <t>240408_1903_7265_1kW_WA5FRF.wav</t>
  </si>
  <si>
    <t>240408_1913_7265_1kW_WA5FRF.wav</t>
  </si>
  <si>
    <t>240408_1926_7265_1kW_WA5FRF.wav</t>
  </si>
  <si>
    <t>240408_1935_7265_1kW_WA5FRF.wav</t>
  </si>
  <si>
    <t>240408_1953_7265_1kW_WA5FRF.wav</t>
  </si>
  <si>
    <t>240408_2013_7265_1kW_WA5FRF.wav</t>
  </si>
  <si>
    <t>My Data  Aligned to Correct Times</t>
  </si>
  <si>
    <t>My Data as Sent to Alex  5jun24</t>
  </si>
  <si>
    <t>Date from Nathaniel For Timestamp Review</t>
  </si>
  <si>
    <t>Data I sent to Alex June 2024</t>
  </si>
  <si>
    <t>Data Nathaniel sent for timestamp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</si>
</sst>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33" borderId="0" xfId="0" applyFill="1"/>
    <xf numFmtId="164" fontId="0" fillId="0" borderId="0" xfId="0" applyNumberFormat="1"/>
    <xf numFmtId="165" fontId="0" fillId="0" borderId="0" xfId="0" applyNumberFormat="1"/>
    <xf numFmtId="0" fontId="0" fillId="34" borderId="0" xfId="0" applyFill="1"/>
    <xf numFmtId="0" fontId="0" fillId="35" borderId="0" xfId="0" applyFill="1"/>
    <xf numFmtId="164" fontId="0" fillId="35" borderId="0" xfId="0" applyNumberFormat="1" applyFill="1"/>
    <xf numFmtId="165" fontId="0" fillId="35" borderId="0" xfId="0" applyNumberFormat="1" applyFill="1"/>
    <xf numFmtId="0" fontId="0" fillId="0" borderId="0" xfId="0" applyAlignment="1">
      <alignment wrapText="1"/>
    </xf>
    <xf numFmtId="20" fontId="0" fillId="0" borderId="0" xfId="0" applyNumberFormat="1"/>
    <xf numFmtId="0" fontId="0" fillId="37" borderId="0" xfId="0" applyFill="1"/>
    <xf numFmtId="0" fontId="0" fillId="35" borderId="0" xfId="0" applyFill="1" applyAlignment="1">
      <alignment horizontal="center" wrapText="1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VERIFIED</a:t>
            </a:r>
            <a:r>
              <a:rPr lang="en-US" baseline="0"/>
              <a:t> </a:t>
            </a:r>
            <a:r>
              <a:rPr lang="en-US"/>
              <a:t>2024-04-08_TX_WA5FRF_EL09nn-RX_AB5YO_EL09so-40m_TDOA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Verified!$B$2</c:f>
              <c:strCache>
                <c:ptCount val="1"/>
                <c:pt idx="0">
                  <c:v>manualBeatNote_TDOA_ms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Verified!$A$3:$A$51</c:f>
              <c:numCache>
                <c:formatCode>h:mm</c:formatCode>
                <c:ptCount val="49"/>
                <c:pt idx="0">
                  <c:v>45390.588194444441</c:v>
                </c:pt>
                <c:pt idx="1">
                  <c:v>45390.592361111114</c:v>
                </c:pt>
                <c:pt idx="2">
                  <c:v>45390.599305555559</c:v>
                </c:pt>
                <c:pt idx="3">
                  <c:v>45390.606249999997</c:v>
                </c:pt>
                <c:pt idx="4">
                  <c:v>45390.613194444442</c:v>
                </c:pt>
                <c:pt idx="5">
                  <c:v>45390.620138888888</c:v>
                </c:pt>
                <c:pt idx="6">
                  <c:v>45390.620833333334</c:v>
                </c:pt>
                <c:pt idx="7">
                  <c:v>45390.627083333333</c:v>
                </c:pt>
                <c:pt idx="8">
                  <c:v>45390.634027777778</c:v>
                </c:pt>
                <c:pt idx="9">
                  <c:v>45390.640972222223</c:v>
                </c:pt>
                <c:pt idx="10">
                  <c:v>45390.647916666669</c:v>
                </c:pt>
                <c:pt idx="11">
                  <c:v>45390.654861111114</c:v>
                </c:pt>
                <c:pt idx="12">
                  <c:v>45390.662499999999</c:v>
                </c:pt>
                <c:pt idx="13">
                  <c:v>45390.668749999997</c:v>
                </c:pt>
                <c:pt idx="14">
                  <c:v>45390.675694444442</c:v>
                </c:pt>
                <c:pt idx="15">
                  <c:v>45390.682638888888</c:v>
                </c:pt>
                <c:pt idx="16">
                  <c:v>45390.689583333333</c:v>
                </c:pt>
                <c:pt idx="17">
                  <c:v>45390.697222222225</c:v>
                </c:pt>
                <c:pt idx="18">
                  <c:v>45390.703472222223</c:v>
                </c:pt>
                <c:pt idx="19">
                  <c:v>45390.710416666669</c:v>
                </c:pt>
                <c:pt idx="20">
                  <c:v>45390.717361111114</c:v>
                </c:pt>
                <c:pt idx="21">
                  <c:v>45390.724305555559</c:v>
                </c:pt>
                <c:pt idx="22">
                  <c:v>45390.731249999997</c:v>
                </c:pt>
                <c:pt idx="23">
                  <c:v>45390.738194444442</c:v>
                </c:pt>
                <c:pt idx="24">
                  <c:v>45390.745138888888</c:v>
                </c:pt>
                <c:pt idx="25">
                  <c:v>45390.752083333333</c:v>
                </c:pt>
                <c:pt idx="26">
                  <c:v>45390.759027777778</c:v>
                </c:pt>
                <c:pt idx="27">
                  <c:v>45390.765972222223</c:v>
                </c:pt>
                <c:pt idx="28">
                  <c:v>45390.767361111109</c:v>
                </c:pt>
                <c:pt idx="29">
                  <c:v>45390.772916666669</c:v>
                </c:pt>
                <c:pt idx="30">
                  <c:v>45390.777777777781</c:v>
                </c:pt>
                <c:pt idx="31">
                  <c:v>45390.779861111114</c:v>
                </c:pt>
                <c:pt idx="32">
                  <c:v>45390.78125</c:v>
                </c:pt>
                <c:pt idx="33">
                  <c:v>45390.786805555559</c:v>
                </c:pt>
                <c:pt idx="34">
                  <c:v>45390.787499999999</c:v>
                </c:pt>
                <c:pt idx="35">
                  <c:v>45390.792361111111</c:v>
                </c:pt>
                <c:pt idx="36">
                  <c:v>45390.793055555558</c:v>
                </c:pt>
                <c:pt idx="37">
                  <c:v>45390.793749999997</c:v>
                </c:pt>
                <c:pt idx="38">
                  <c:v>45390.795138888891</c:v>
                </c:pt>
                <c:pt idx="39">
                  <c:v>45390.800694444442</c:v>
                </c:pt>
                <c:pt idx="40">
                  <c:v>45390.805555555555</c:v>
                </c:pt>
                <c:pt idx="41">
                  <c:v>45390.806944444441</c:v>
                </c:pt>
                <c:pt idx="42">
                  <c:v>45390.80972222222</c:v>
                </c:pt>
                <c:pt idx="43">
                  <c:v>45390.81527777778</c:v>
                </c:pt>
                <c:pt idx="44">
                  <c:v>45390.815972222219</c:v>
                </c:pt>
                <c:pt idx="45">
                  <c:v>45390.821527777778</c:v>
                </c:pt>
                <c:pt idx="46">
                  <c:v>45390.828472222223</c:v>
                </c:pt>
                <c:pt idx="47">
                  <c:v>45390.837500000001</c:v>
                </c:pt>
                <c:pt idx="48">
                  <c:v>45390.842361111114</c:v>
                </c:pt>
              </c:numCache>
            </c:numRef>
          </c:xVal>
          <c:yVal>
            <c:numRef>
              <c:f>Verified!$B$3:$B$51</c:f>
              <c:numCache>
                <c:formatCode>General</c:formatCode>
                <c:ptCount val="49"/>
                <c:pt idx="0">
                  <c:v>1.69</c:v>
                </c:pt>
                <c:pt idx="1">
                  <c:v>1.8</c:v>
                </c:pt>
                <c:pt idx="2">
                  <c:v>1.84</c:v>
                </c:pt>
                <c:pt idx="3">
                  <c:v>1.86</c:v>
                </c:pt>
                <c:pt idx="4">
                  <c:v>1.86</c:v>
                </c:pt>
                <c:pt idx="5">
                  <c:v>1.94</c:v>
                </c:pt>
                <c:pt idx="6">
                  <c:v>1.9</c:v>
                </c:pt>
                <c:pt idx="7">
                  <c:v>1.88</c:v>
                </c:pt>
                <c:pt idx="8">
                  <c:v>2.04</c:v>
                </c:pt>
                <c:pt idx="9">
                  <c:v>2.04</c:v>
                </c:pt>
                <c:pt idx="10">
                  <c:v>2.04</c:v>
                </c:pt>
                <c:pt idx="11">
                  <c:v>2.08</c:v>
                </c:pt>
                <c:pt idx="12">
                  <c:v>2.08</c:v>
                </c:pt>
                <c:pt idx="13">
                  <c:v>2.02</c:v>
                </c:pt>
                <c:pt idx="14">
                  <c:v>1.94</c:v>
                </c:pt>
                <c:pt idx="15">
                  <c:v>1.92</c:v>
                </c:pt>
                <c:pt idx="16">
                  <c:v>1.97</c:v>
                </c:pt>
                <c:pt idx="17">
                  <c:v>1.97</c:v>
                </c:pt>
                <c:pt idx="18">
                  <c:v>1.86</c:v>
                </c:pt>
                <c:pt idx="19">
                  <c:v>1.9</c:v>
                </c:pt>
                <c:pt idx="20">
                  <c:v>1.91</c:v>
                </c:pt>
                <c:pt idx="21">
                  <c:v>1.9</c:v>
                </c:pt>
                <c:pt idx="22">
                  <c:v>1.91</c:v>
                </c:pt>
                <c:pt idx="23">
                  <c:v>1.82</c:v>
                </c:pt>
                <c:pt idx="24">
                  <c:v>1.91</c:v>
                </c:pt>
                <c:pt idx="25">
                  <c:v>1.84</c:v>
                </c:pt>
                <c:pt idx="26">
                  <c:v>1.84</c:v>
                </c:pt>
                <c:pt idx="27">
                  <c:v>1.76</c:v>
                </c:pt>
                <c:pt idx="28">
                  <c:v>1.93</c:v>
                </c:pt>
                <c:pt idx="29">
                  <c:v>1.97</c:v>
                </c:pt>
                <c:pt idx="30">
                  <c:v>1.97</c:v>
                </c:pt>
                <c:pt idx="31">
                  <c:v>1.99</c:v>
                </c:pt>
                <c:pt idx="32">
                  <c:v>2.0499999999999998</c:v>
                </c:pt>
                <c:pt idx="33">
                  <c:v>2.0099999999999998</c:v>
                </c:pt>
                <c:pt idx="34">
                  <c:v>2</c:v>
                </c:pt>
                <c:pt idx="35">
                  <c:v>1.99</c:v>
                </c:pt>
                <c:pt idx="36">
                  <c:v>2.02</c:v>
                </c:pt>
                <c:pt idx="37">
                  <c:v>2.02</c:v>
                </c:pt>
                <c:pt idx="38">
                  <c:v>2.02</c:v>
                </c:pt>
                <c:pt idx="39">
                  <c:v>2.0099999999999998</c:v>
                </c:pt>
                <c:pt idx="40">
                  <c:v>1.97</c:v>
                </c:pt>
                <c:pt idx="41">
                  <c:v>1.96</c:v>
                </c:pt>
                <c:pt idx="42">
                  <c:v>1.92</c:v>
                </c:pt>
                <c:pt idx="43">
                  <c:v>1.93</c:v>
                </c:pt>
                <c:pt idx="44">
                  <c:v>1.95</c:v>
                </c:pt>
                <c:pt idx="45">
                  <c:v>1.91</c:v>
                </c:pt>
                <c:pt idx="46">
                  <c:v>1.9</c:v>
                </c:pt>
                <c:pt idx="47">
                  <c:v>1.91</c:v>
                </c:pt>
                <c:pt idx="48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3A-49FE-9E63-BFA103DC8789}"/>
            </c:ext>
          </c:extLst>
        </c:ser>
        <c:ser>
          <c:idx val="1"/>
          <c:order val="1"/>
          <c:tx>
            <c:strRef>
              <c:f>Verified!$E$2</c:f>
              <c:strCache>
                <c:ptCount val="1"/>
                <c:pt idx="0">
                  <c:v>autoCorrelation_TDOA_ms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Verified!$A$3:$A$51</c:f>
              <c:numCache>
                <c:formatCode>h:mm</c:formatCode>
                <c:ptCount val="49"/>
                <c:pt idx="0">
                  <c:v>45390.588194444441</c:v>
                </c:pt>
                <c:pt idx="1">
                  <c:v>45390.592361111114</c:v>
                </c:pt>
                <c:pt idx="2">
                  <c:v>45390.599305555559</c:v>
                </c:pt>
                <c:pt idx="3">
                  <c:v>45390.606249999997</c:v>
                </c:pt>
                <c:pt idx="4">
                  <c:v>45390.613194444442</c:v>
                </c:pt>
                <c:pt idx="5">
                  <c:v>45390.620138888888</c:v>
                </c:pt>
                <c:pt idx="6">
                  <c:v>45390.620833333334</c:v>
                </c:pt>
                <c:pt idx="7">
                  <c:v>45390.627083333333</c:v>
                </c:pt>
                <c:pt idx="8">
                  <c:v>45390.634027777778</c:v>
                </c:pt>
                <c:pt idx="9">
                  <c:v>45390.640972222223</c:v>
                </c:pt>
                <c:pt idx="10">
                  <c:v>45390.647916666669</c:v>
                </c:pt>
                <c:pt idx="11">
                  <c:v>45390.654861111114</c:v>
                </c:pt>
                <c:pt idx="12">
                  <c:v>45390.662499999999</c:v>
                </c:pt>
                <c:pt idx="13">
                  <c:v>45390.668749999997</c:v>
                </c:pt>
                <c:pt idx="14">
                  <c:v>45390.675694444442</c:v>
                </c:pt>
                <c:pt idx="15">
                  <c:v>45390.682638888888</c:v>
                </c:pt>
                <c:pt idx="16">
                  <c:v>45390.689583333333</c:v>
                </c:pt>
                <c:pt idx="17">
                  <c:v>45390.697222222225</c:v>
                </c:pt>
                <c:pt idx="18">
                  <c:v>45390.703472222223</c:v>
                </c:pt>
                <c:pt idx="19">
                  <c:v>45390.710416666669</c:v>
                </c:pt>
                <c:pt idx="20">
                  <c:v>45390.717361111114</c:v>
                </c:pt>
                <c:pt idx="21">
                  <c:v>45390.724305555559</c:v>
                </c:pt>
                <c:pt idx="22">
                  <c:v>45390.731249999997</c:v>
                </c:pt>
                <c:pt idx="23">
                  <c:v>45390.738194444442</c:v>
                </c:pt>
                <c:pt idx="24">
                  <c:v>45390.745138888888</c:v>
                </c:pt>
                <c:pt idx="25">
                  <c:v>45390.752083333333</c:v>
                </c:pt>
                <c:pt idx="26">
                  <c:v>45390.759027777778</c:v>
                </c:pt>
                <c:pt idx="27">
                  <c:v>45390.765972222223</c:v>
                </c:pt>
                <c:pt idx="28">
                  <c:v>45390.767361111109</c:v>
                </c:pt>
                <c:pt idx="29">
                  <c:v>45390.772916666669</c:v>
                </c:pt>
                <c:pt idx="30">
                  <c:v>45390.777777777781</c:v>
                </c:pt>
                <c:pt idx="31">
                  <c:v>45390.779861111114</c:v>
                </c:pt>
                <c:pt idx="32">
                  <c:v>45390.78125</c:v>
                </c:pt>
                <c:pt idx="33">
                  <c:v>45390.786805555559</c:v>
                </c:pt>
                <c:pt idx="34">
                  <c:v>45390.787499999999</c:v>
                </c:pt>
                <c:pt idx="35">
                  <c:v>45390.792361111111</c:v>
                </c:pt>
                <c:pt idx="36">
                  <c:v>45390.793055555558</c:v>
                </c:pt>
                <c:pt idx="37">
                  <c:v>45390.793749999997</c:v>
                </c:pt>
                <c:pt idx="38">
                  <c:v>45390.795138888891</c:v>
                </c:pt>
                <c:pt idx="39">
                  <c:v>45390.800694444442</c:v>
                </c:pt>
                <c:pt idx="40">
                  <c:v>45390.805555555555</c:v>
                </c:pt>
                <c:pt idx="41">
                  <c:v>45390.806944444441</c:v>
                </c:pt>
                <c:pt idx="42">
                  <c:v>45390.80972222222</c:v>
                </c:pt>
                <c:pt idx="43">
                  <c:v>45390.81527777778</c:v>
                </c:pt>
                <c:pt idx="44">
                  <c:v>45390.815972222219</c:v>
                </c:pt>
                <c:pt idx="45">
                  <c:v>45390.821527777778</c:v>
                </c:pt>
                <c:pt idx="46">
                  <c:v>45390.828472222223</c:v>
                </c:pt>
                <c:pt idx="47">
                  <c:v>45390.837500000001</c:v>
                </c:pt>
                <c:pt idx="48">
                  <c:v>45390.842361111114</c:v>
                </c:pt>
              </c:numCache>
            </c:numRef>
          </c:xVal>
          <c:yVal>
            <c:numRef>
              <c:f>Verified!$E$3:$E$51</c:f>
              <c:numCache>
                <c:formatCode>0.000</c:formatCode>
                <c:ptCount val="49"/>
                <c:pt idx="0">
                  <c:v>1.6996769999999999</c:v>
                </c:pt>
                <c:pt idx="1">
                  <c:v>1.728005</c:v>
                </c:pt>
                <c:pt idx="2">
                  <c:v>1.7374479999999999</c:v>
                </c:pt>
                <c:pt idx="3">
                  <c:v>1.803547</c:v>
                </c:pt>
                <c:pt idx="4">
                  <c:v>1.7846610000000001</c:v>
                </c:pt>
                <c:pt idx="5">
                  <c:v>1.869645</c:v>
                </c:pt>
                <c:pt idx="6">
                  <c:v>1.7752189999999999</c:v>
                </c:pt>
                <c:pt idx="7">
                  <c:v>1.8790879999999999</c:v>
                </c:pt>
                <c:pt idx="8">
                  <c:v>1.8413170000000001</c:v>
                </c:pt>
                <c:pt idx="9">
                  <c:v>1.8979730000000001</c:v>
                </c:pt>
                <c:pt idx="10">
                  <c:v>2.0018420000000003</c:v>
                </c:pt>
                <c:pt idx="11">
                  <c:v>1.803547</c:v>
                </c:pt>
                <c:pt idx="12">
                  <c:v>2.0396130000000001</c:v>
                </c:pt>
                <c:pt idx="14">
                  <c:v>2.03017</c:v>
                </c:pt>
                <c:pt idx="15">
                  <c:v>1.9451860000000001</c:v>
                </c:pt>
                <c:pt idx="16">
                  <c:v>2.011285</c:v>
                </c:pt>
                <c:pt idx="17">
                  <c:v>1.926301</c:v>
                </c:pt>
                <c:pt idx="18">
                  <c:v>1.8790879999999999</c:v>
                </c:pt>
                <c:pt idx="19">
                  <c:v>1.926301</c:v>
                </c:pt>
                <c:pt idx="20">
                  <c:v>1.8413170000000001</c:v>
                </c:pt>
                <c:pt idx="21">
                  <c:v>1.8602030000000001</c:v>
                </c:pt>
                <c:pt idx="22">
                  <c:v>1.973514</c:v>
                </c:pt>
                <c:pt idx="24">
                  <c:v>2.0773839999999999</c:v>
                </c:pt>
                <c:pt idx="25">
                  <c:v>1.7657759856630701</c:v>
                </c:pt>
                <c:pt idx="26">
                  <c:v>1.8507598566307999</c:v>
                </c:pt>
                <c:pt idx="27">
                  <c:v>1.7752186379927899</c:v>
                </c:pt>
                <c:pt idx="29">
                  <c:v>1.70912007168461</c:v>
                </c:pt>
                <c:pt idx="31">
                  <c:v>1.8979731182795501</c:v>
                </c:pt>
                <c:pt idx="33">
                  <c:v>1.8129892473118201</c:v>
                </c:pt>
                <c:pt idx="37">
                  <c:v>1.8885304659498299</c:v>
                </c:pt>
                <c:pt idx="39">
                  <c:v>1.8885304659498299</c:v>
                </c:pt>
                <c:pt idx="42">
                  <c:v>2.0396129032257897</c:v>
                </c:pt>
                <c:pt idx="44">
                  <c:v>1.91685842293903</c:v>
                </c:pt>
                <c:pt idx="46">
                  <c:v>1.94518637992829</c:v>
                </c:pt>
                <c:pt idx="48">
                  <c:v>1.7846612903225598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3A-49FE-9E63-BFA103DC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490576"/>
        <c:axId val="1275492016"/>
      </c:scatterChart>
      <c:valAx>
        <c:axId val="127549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92016"/>
        <c:crosses val="autoZero"/>
        <c:crossBetween val="midCat"/>
      </c:valAx>
      <c:valAx>
        <c:axId val="127549201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9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 FIXES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Verified!$B$2</c:f>
              <c:strCache>
                <c:ptCount val="1"/>
                <c:pt idx="0">
                  <c:v>manualBeatNote_TDOA_ms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Verified!$A$3:$A$51</c:f>
              <c:numCache>
                <c:formatCode>h:mm</c:formatCode>
                <c:ptCount val="49"/>
                <c:pt idx="0">
                  <c:v>45390.588194444441</c:v>
                </c:pt>
                <c:pt idx="1">
                  <c:v>45390.592361111114</c:v>
                </c:pt>
                <c:pt idx="2">
                  <c:v>45390.599305555559</c:v>
                </c:pt>
                <c:pt idx="3">
                  <c:v>45390.606249999997</c:v>
                </c:pt>
                <c:pt idx="4">
                  <c:v>45390.613194444442</c:v>
                </c:pt>
                <c:pt idx="5">
                  <c:v>45390.620138888888</c:v>
                </c:pt>
                <c:pt idx="6">
                  <c:v>45390.620833333334</c:v>
                </c:pt>
                <c:pt idx="7">
                  <c:v>45390.627083333333</c:v>
                </c:pt>
                <c:pt idx="8">
                  <c:v>45390.634027777778</c:v>
                </c:pt>
                <c:pt idx="9">
                  <c:v>45390.640972222223</c:v>
                </c:pt>
                <c:pt idx="10">
                  <c:v>45390.647916666669</c:v>
                </c:pt>
                <c:pt idx="11">
                  <c:v>45390.654861111114</c:v>
                </c:pt>
                <c:pt idx="12">
                  <c:v>45390.662499999999</c:v>
                </c:pt>
                <c:pt idx="13">
                  <c:v>45390.668749999997</c:v>
                </c:pt>
                <c:pt idx="14">
                  <c:v>45390.675694444442</c:v>
                </c:pt>
                <c:pt idx="15">
                  <c:v>45390.682638888888</c:v>
                </c:pt>
                <c:pt idx="16">
                  <c:v>45390.689583333333</c:v>
                </c:pt>
                <c:pt idx="17">
                  <c:v>45390.697222222225</c:v>
                </c:pt>
                <c:pt idx="18">
                  <c:v>45390.703472222223</c:v>
                </c:pt>
                <c:pt idx="19">
                  <c:v>45390.710416666669</c:v>
                </c:pt>
                <c:pt idx="20">
                  <c:v>45390.717361111114</c:v>
                </c:pt>
                <c:pt idx="21">
                  <c:v>45390.724305555559</c:v>
                </c:pt>
                <c:pt idx="22">
                  <c:v>45390.731249999997</c:v>
                </c:pt>
                <c:pt idx="23">
                  <c:v>45390.738194444442</c:v>
                </c:pt>
                <c:pt idx="24">
                  <c:v>45390.745138888888</c:v>
                </c:pt>
                <c:pt idx="25">
                  <c:v>45390.752083333333</c:v>
                </c:pt>
                <c:pt idx="26">
                  <c:v>45390.759027777778</c:v>
                </c:pt>
                <c:pt idx="27">
                  <c:v>45390.765972222223</c:v>
                </c:pt>
                <c:pt idx="28">
                  <c:v>45390.767361111109</c:v>
                </c:pt>
                <c:pt idx="29">
                  <c:v>45390.772916666669</c:v>
                </c:pt>
                <c:pt idx="30">
                  <c:v>45390.777777777781</c:v>
                </c:pt>
                <c:pt idx="31">
                  <c:v>45390.779861111114</c:v>
                </c:pt>
                <c:pt idx="32">
                  <c:v>45390.78125</c:v>
                </c:pt>
                <c:pt idx="33">
                  <c:v>45390.786805555559</c:v>
                </c:pt>
                <c:pt idx="34">
                  <c:v>45390.787499999999</c:v>
                </c:pt>
                <c:pt idx="35">
                  <c:v>45390.792361111111</c:v>
                </c:pt>
                <c:pt idx="36">
                  <c:v>45390.793055555558</c:v>
                </c:pt>
                <c:pt idx="37">
                  <c:v>45390.793749999997</c:v>
                </c:pt>
                <c:pt idx="38">
                  <c:v>45390.795138888891</c:v>
                </c:pt>
                <c:pt idx="39">
                  <c:v>45390.800694444442</c:v>
                </c:pt>
                <c:pt idx="40">
                  <c:v>45390.805555555555</c:v>
                </c:pt>
                <c:pt idx="41">
                  <c:v>45390.806944444441</c:v>
                </c:pt>
                <c:pt idx="42">
                  <c:v>45390.80972222222</c:v>
                </c:pt>
                <c:pt idx="43">
                  <c:v>45390.81527777778</c:v>
                </c:pt>
                <c:pt idx="44">
                  <c:v>45390.815972222219</c:v>
                </c:pt>
                <c:pt idx="45">
                  <c:v>45390.821527777778</c:v>
                </c:pt>
                <c:pt idx="46">
                  <c:v>45390.828472222223</c:v>
                </c:pt>
                <c:pt idx="47">
                  <c:v>45390.837500000001</c:v>
                </c:pt>
                <c:pt idx="48">
                  <c:v>45390.842361111114</c:v>
                </c:pt>
              </c:numCache>
            </c:numRef>
          </c:xVal>
          <c:yVal>
            <c:numRef>
              <c:f>Verified!$B$3:$B$51</c:f>
              <c:numCache>
                <c:formatCode>General</c:formatCode>
                <c:ptCount val="49"/>
                <c:pt idx="0">
                  <c:v>1.69</c:v>
                </c:pt>
                <c:pt idx="1">
                  <c:v>1.8</c:v>
                </c:pt>
                <c:pt idx="2">
                  <c:v>1.84</c:v>
                </c:pt>
                <c:pt idx="3">
                  <c:v>1.86</c:v>
                </c:pt>
                <c:pt idx="4">
                  <c:v>1.86</c:v>
                </c:pt>
                <c:pt idx="5">
                  <c:v>1.94</c:v>
                </c:pt>
                <c:pt idx="6">
                  <c:v>1.9</c:v>
                </c:pt>
                <c:pt idx="7">
                  <c:v>1.88</c:v>
                </c:pt>
                <c:pt idx="8">
                  <c:v>2.04</c:v>
                </c:pt>
                <c:pt idx="9">
                  <c:v>2.04</c:v>
                </c:pt>
                <c:pt idx="10">
                  <c:v>2.04</c:v>
                </c:pt>
                <c:pt idx="11">
                  <c:v>2.08</c:v>
                </c:pt>
                <c:pt idx="12">
                  <c:v>2.08</c:v>
                </c:pt>
                <c:pt idx="13">
                  <c:v>2.02</c:v>
                </c:pt>
                <c:pt idx="14">
                  <c:v>1.94</c:v>
                </c:pt>
                <c:pt idx="15">
                  <c:v>1.92</c:v>
                </c:pt>
                <c:pt idx="16">
                  <c:v>1.97</c:v>
                </c:pt>
                <c:pt idx="17">
                  <c:v>1.97</c:v>
                </c:pt>
                <c:pt idx="18">
                  <c:v>1.86</c:v>
                </c:pt>
                <c:pt idx="19">
                  <c:v>1.9</c:v>
                </c:pt>
                <c:pt idx="20">
                  <c:v>1.91</c:v>
                </c:pt>
                <c:pt idx="21">
                  <c:v>1.9</c:v>
                </c:pt>
                <c:pt idx="22">
                  <c:v>1.91</c:v>
                </c:pt>
                <c:pt idx="23">
                  <c:v>1.82</c:v>
                </c:pt>
                <c:pt idx="24">
                  <c:v>1.91</c:v>
                </c:pt>
                <c:pt idx="25">
                  <c:v>1.84</c:v>
                </c:pt>
                <c:pt idx="26">
                  <c:v>1.84</c:v>
                </c:pt>
                <c:pt idx="27">
                  <c:v>1.76</c:v>
                </c:pt>
                <c:pt idx="28">
                  <c:v>1.93</c:v>
                </c:pt>
                <c:pt idx="29">
                  <c:v>1.97</c:v>
                </c:pt>
                <c:pt idx="30">
                  <c:v>1.97</c:v>
                </c:pt>
                <c:pt idx="31">
                  <c:v>1.99</c:v>
                </c:pt>
                <c:pt idx="32">
                  <c:v>2.0499999999999998</c:v>
                </c:pt>
                <c:pt idx="33">
                  <c:v>2.0099999999999998</c:v>
                </c:pt>
                <c:pt idx="34">
                  <c:v>2</c:v>
                </c:pt>
                <c:pt idx="35">
                  <c:v>1.99</c:v>
                </c:pt>
                <c:pt idx="36">
                  <c:v>2.02</c:v>
                </c:pt>
                <c:pt idx="37">
                  <c:v>2.02</c:v>
                </c:pt>
                <c:pt idx="38">
                  <c:v>2.02</c:v>
                </c:pt>
                <c:pt idx="39">
                  <c:v>2.0099999999999998</c:v>
                </c:pt>
                <c:pt idx="40">
                  <c:v>1.97</c:v>
                </c:pt>
                <c:pt idx="41">
                  <c:v>1.96</c:v>
                </c:pt>
                <c:pt idx="42">
                  <c:v>1.92</c:v>
                </c:pt>
                <c:pt idx="43">
                  <c:v>1.93</c:v>
                </c:pt>
                <c:pt idx="44">
                  <c:v>1.95</c:v>
                </c:pt>
                <c:pt idx="45">
                  <c:v>1.91</c:v>
                </c:pt>
                <c:pt idx="46">
                  <c:v>1.9</c:v>
                </c:pt>
                <c:pt idx="47">
                  <c:v>1.91</c:v>
                </c:pt>
                <c:pt idx="48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88-4693-837F-10FD8C012461}"/>
            </c:ext>
          </c:extLst>
        </c:ser>
        <c:ser>
          <c:idx val="1"/>
          <c:order val="1"/>
          <c:tx>
            <c:strRef>
              <c:f>Verified!$C$2</c:f>
              <c:strCache>
                <c:ptCount val="1"/>
                <c:pt idx="0">
                  <c:v>autoCorrelation_TDOA_ms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Verified!$A$3:$A$51</c:f>
              <c:numCache>
                <c:formatCode>h:mm</c:formatCode>
                <c:ptCount val="49"/>
                <c:pt idx="0">
                  <c:v>45390.588194444441</c:v>
                </c:pt>
                <c:pt idx="1">
                  <c:v>45390.592361111114</c:v>
                </c:pt>
                <c:pt idx="2">
                  <c:v>45390.599305555559</c:v>
                </c:pt>
                <c:pt idx="3">
                  <c:v>45390.606249999997</c:v>
                </c:pt>
                <c:pt idx="4">
                  <c:v>45390.613194444442</c:v>
                </c:pt>
                <c:pt idx="5">
                  <c:v>45390.620138888888</c:v>
                </c:pt>
                <c:pt idx="6">
                  <c:v>45390.620833333334</c:v>
                </c:pt>
                <c:pt idx="7">
                  <c:v>45390.627083333333</c:v>
                </c:pt>
                <c:pt idx="8">
                  <c:v>45390.634027777778</c:v>
                </c:pt>
                <c:pt idx="9">
                  <c:v>45390.640972222223</c:v>
                </c:pt>
                <c:pt idx="10">
                  <c:v>45390.647916666669</c:v>
                </c:pt>
                <c:pt idx="11">
                  <c:v>45390.654861111114</c:v>
                </c:pt>
                <c:pt idx="12">
                  <c:v>45390.662499999999</c:v>
                </c:pt>
                <c:pt idx="13">
                  <c:v>45390.668749999997</c:v>
                </c:pt>
                <c:pt idx="14">
                  <c:v>45390.675694444442</c:v>
                </c:pt>
                <c:pt idx="15">
                  <c:v>45390.682638888888</c:v>
                </c:pt>
                <c:pt idx="16">
                  <c:v>45390.689583333333</c:v>
                </c:pt>
                <c:pt idx="17">
                  <c:v>45390.697222222225</c:v>
                </c:pt>
                <c:pt idx="18">
                  <c:v>45390.703472222223</c:v>
                </c:pt>
                <c:pt idx="19">
                  <c:v>45390.710416666669</c:v>
                </c:pt>
                <c:pt idx="20">
                  <c:v>45390.717361111114</c:v>
                </c:pt>
                <c:pt idx="21">
                  <c:v>45390.724305555559</c:v>
                </c:pt>
                <c:pt idx="22">
                  <c:v>45390.731249999997</c:v>
                </c:pt>
                <c:pt idx="23">
                  <c:v>45390.738194444442</c:v>
                </c:pt>
                <c:pt idx="24">
                  <c:v>45390.745138888888</c:v>
                </c:pt>
                <c:pt idx="25">
                  <c:v>45390.752083333333</c:v>
                </c:pt>
                <c:pt idx="26">
                  <c:v>45390.759027777778</c:v>
                </c:pt>
                <c:pt idx="27">
                  <c:v>45390.765972222223</c:v>
                </c:pt>
                <c:pt idx="28">
                  <c:v>45390.767361111109</c:v>
                </c:pt>
                <c:pt idx="29">
                  <c:v>45390.772916666669</c:v>
                </c:pt>
                <c:pt idx="30">
                  <c:v>45390.777777777781</c:v>
                </c:pt>
                <c:pt idx="31">
                  <c:v>45390.779861111114</c:v>
                </c:pt>
                <c:pt idx="32">
                  <c:v>45390.78125</c:v>
                </c:pt>
                <c:pt idx="33">
                  <c:v>45390.786805555559</c:v>
                </c:pt>
                <c:pt idx="34">
                  <c:v>45390.787499999999</c:v>
                </c:pt>
                <c:pt idx="35">
                  <c:v>45390.792361111111</c:v>
                </c:pt>
                <c:pt idx="36">
                  <c:v>45390.793055555558</c:v>
                </c:pt>
                <c:pt idx="37">
                  <c:v>45390.793749999997</c:v>
                </c:pt>
                <c:pt idx="38">
                  <c:v>45390.795138888891</c:v>
                </c:pt>
                <c:pt idx="39">
                  <c:v>45390.800694444442</c:v>
                </c:pt>
                <c:pt idx="40">
                  <c:v>45390.805555555555</c:v>
                </c:pt>
                <c:pt idx="41">
                  <c:v>45390.806944444441</c:v>
                </c:pt>
                <c:pt idx="42">
                  <c:v>45390.80972222222</c:v>
                </c:pt>
                <c:pt idx="43">
                  <c:v>45390.81527777778</c:v>
                </c:pt>
                <c:pt idx="44">
                  <c:v>45390.815972222219</c:v>
                </c:pt>
                <c:pt idx="45">
                  <c:v>45390.821527777778</c:v>
                </c:pt>
                <c:pt idx="46">
                  <c:v>45390.828472222223</c:v>
                </c:pt>
                <c:pt idx="47">
                  <c:v>45390.837500000001</c:v>
                </c:pt>
                <c:pt idx="48">
                  <c:v>45390.842361111114</c:v>
                </c:pt>
              </c:numCache>
            </c:numRef>
          </c:xVal>
          <c:yVal>
            <c:numRef>
              <c:f>Verified!$C$3:$C$51</c:f>
              <c:numCache>
                <c:formatCode>General</c:formatCode>
                <c:ptCount val="49"/>
                <c:pt idx="0">
                  <c:v>1.728</c:v>
                </c:pt>
                <c:pt idx="1">
                  <c:v>1.7370000000000001</c:v>
                </c:pt>
                <c:pt idx="2">
                  <c:v>1.804</c:v>
                </c:pt>
                <c:pt idx="3">
                  <c:v>1.7849999999999999</c:v>
                </c:pt>
                <c:pt idx="4">
                  <c:v>1.87</c:v>
                </c:pt>
                <c:pt idx="5">
                  <c:v>1.7749999999999999</c:v>
                </c:pt>
                <c:pt idx="6">
                  <c:v>1.879</c:v>
                </c:pt>
                <c:pt idx="7">
                  <c:v>1.841</c:v>
                </c:pt>
                <c:pt idx="8">
                  <c:v>1.8979999999999999</c:v>
                </c:pt>
                <c:pt idx="9">
                  <c:v>2.0019999999999998</c:v>
                </c:pt>
                <c:pt idx="10">
                  <c:v>1.804</c:v>
                </c:pt>
                <c:pt idx="11">
                  <c:v>2.04</c:v>
                </c:pt>
                <c:pt idx="13">
                  <c:v>2.0299999999999998</c:v>
                </c:pt>
                <c:pt idx="14">
                  <c:v>1.9450000000000001</c:v>
                </c:pt>
                <c:pt idx="15">
                  <c:v>2.0110000000000001</c:v>
                </c:pt>
                <c:pt idx="16">
                  <c:v>1.9259999999999999</c:v>
                </c:pt>
                <c:pt idx="17">
                  <c:v>1.879</c:v>
                </c:pt>
                <c:pt idx="18">
                  <c:v>1.9259999999999999</c:v>
                </c:pt>
                <c:pt idx="19">
                  <c:v>1.841</c:v>
                </c:pt>
                <c:pt idx="20">
                  <c:v>1.86</c:v>
                </c:pt>
                <c:pt idx="21">
                  <c:v>1.974</c:v>
                </c:pt>
                <c:pt idx="22">
                  <c:v>2.077</c:v>
                </c:pt>
                <c:pt idx="23">
                  <c:v>1.766</c:v>
                </c:pt>
                <c:pt idx="24">
                  <c:v>1.851</c:v>
                </c:pt>
                <c:pt idx="25">
                  <c:v>1.7749999999999999</c:v>
                </c:pt>
                <c:pt idx="27">
                  <c:v>1.7090000000000001</c:v>
                </c:pt>
                <c:pt idx="29">
                  <c:v>1.8979999999999999</c:v>
                </c:pt>
                <c:pt idx="31">
                  <c:v>1.8129999999999999</c:v>
                </c:pt>
                <c:pt idx="35">
                  <c:v>1.889</c:v>
                </c:pt>
                <c:pt idx="37">
                  <c:v>1.889</c:v>
                </c:pt>
                <c:pt idx="40">
                  <c:v>2.04</c:v>
                </c:pt>
                <c:pt idx="42">
                  <c:v>1.917</c:v>
                </c:pt>
                <c:pt idx="44">
                  <c:v>1.9450000000000001</c:v>
                </c:pt>
                <c:pt idx="46">
                  <c:v>1.7849999999999999</c:v>
                </c:pt>
                <c:pt idx="47">
                  <c:v>1.79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88-4693-837F-10FD8C01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607904"/>
        <c:axId val="1375765728"/>
      </c:scatterChart>
      <c:valAx>
        <c:axId val="169860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765728"/>
        <c:crosses val="autoZero"/>
        <c:crossBetween val="midCat"/>
      </c:valAx>
      <c:valAx>
        <c:axId val="137576572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0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AB5YO_40M_5jun24_for Alex_2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'[1]max corr'!$J$1</c:f>
              <c:strCache>
                <c:ptCount val="1"/>
                <c:pt idx="0">
                  <c:v>TDOA(ms)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'[1]max corr'!$I$2:$I$37</c:f>
              <c:numCache>
                <c:formatCode>General</c:formatCode>
                <c:ptCount val="36"/>
                <c:pt idx="1">
                  <c:v>0.58819444444444446</c:v>
                </c:pt>
                <c:pt idx="2">
                  <c:v>0.59236111111111112</c:v>
                </c:pt>
                <c:pt idx="3">
                  <c:v>0.59930555555555554</c:v>
                </c:pt>
                <c:pt idx="4">
                  <c:v>0.60625000000000007</c:v>
                </c:pt>
                <c:pt idx="5">
                  <c:v>0.61319444444444449</c:v>
                </c:pt>
                <c:pt idx="6">
                  <c:v>0.62013888888888891</c:v>
                </c:pt>
                <c:pt idx="7">
                  <c:v>0.62083333333333335</c:v>
                </c:pt>
                <c:pt idx="8">
                  <c:v>0.62708333333333333</c:v>
                </c:pt>
                <c:pt idx="9">
                  <c:v>0.63402777777777775</c:v>
                </c:pt>
                <c:pt idx="10">
                  <c:v>0.64097222222222228</c:v>
                </c:pt>
                <c:pt idx="11">
                  <c:v>0.6479166666666667</c:v>
                </c:pt>
                <c:pt idx="12">
                  <c:v>0.65486111111111112</c:v>
                </c:pt>
                <c:pt idx="13">
                  <c:v>0.66249999999999998</c:v>
                </c:pt>
                <c:pt idx="14">
                  <c:v>0.67569444444444438</c:v>
                </c:pt>
                <c:pt idx="15">
                  <c:v>0.6826388888888888</c:v>
                </c:pt>
                <c:pt idx="16">
                  <c:v>0.68958333333333333</c:v>
                </c:pt>
                <c:pt idx="17">
                  <c:v>0.69722222222222219</c:v>
                </c:pt>
                <c:pt idx="18">
                  <c:v>0.70347222222222217</c:v>
                </c:pt>
                <c:pt idx="19">
                  <c:v>0.7104166666666667</c:v>
                </c:pt>
                <c:pt idx="20">
                  <c:v>0.71736111111111112</c:v>
                </c:pt>
                <c:pt idx="21">
                  <c:v>0.72430555555555554</c:v>
                </c:pt>
                <c:pt idx="22">
                  <c:v>0.73125000000000007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0.7729166666666667</c:v>
                </c:pt>
                <c:pt idx="28">
                  <c:v>0.77986111111111112</c:v>
                </c:pt>
                <c:pt idx="29">
                  <c:v>0.78680555555555554</c:v>
                </c:pt>
                <c:pt idx="30">
                  <c:v>0.79374999999999996</c:v>
                </c:pt>
                <c:pt idx="31">
                  <c:v>0.80069444444444438</c:v>
                </c:pt>
                <c:pt idx="32">
                  <c:v>0.80972222222222223</c:v>
                </c:pt>
                <c:pt idx="33">
                  <c:v>0.81597222222222221</c:v>
                </c:pt>
                <c:pt idx="34">
                  <c:v>0.82847222222222217</c:v>
                </c:pt>
                <c:pt idx="35">
                  <c:v>0.84236111111111112</c:v>
                </c:pt>
              </c:numCache>
            </c:numRef>
          </c:xVal>
          <c:yVal>
            <c:numRef>
              <c:f>'[1]max corr'!$J$2:$J$37</c:f>
              <c:numCache>
                <c:formatCode>General</c:formatCode>
                <c:ptCount val="36"/>
                <c:pt idx="1">
                  <c:v>1.6996769999999999</c:v>
                </c:pt>
                <c:pt idx="2">
                  <c:v>1.728005</c:v>
                </c:pt>
                <c:pt idx="3">
                  <c:v>1.7374479999999999</c:v>
                </c:pt>
                <c:pt idx="4">
                  <c:v>1.803547</c:v>
                </c:pt>
                <c:pt idx="5">
                  <c:v>1.7846610000000001</c:v>
                </c:pt>
                <c:pt idx="6">
                  <c:v>1.869645</c:v>
                </c:pt>
                <c:pt idx="7">
                  <c:v>1.7752189999999999</c:v>
                </c:pt>
                <c:pt idx="8">
                  <c:v>1.8790879999999999</c:v>
                </c:pt>
                <c:pt idx="9">
                  <c:v>1.8413170000000001</c:v>
                </c:pt>
                <c:pt idx="10">
                  <c:v>1.8979730000000001</c:v>
                </c:pt>
                <c:pt idx="11">
                  <c:v>2.0018420000000003</c:v>
                </c:pt>
                <c:pt idx="12">
                  <c:v>1.803547</c:v>
                </c:pt>
                <c:pt idx="13">
                  <c:v>2.0396130000000001</c:v>
                </c:pt>
                <c:pt idx="14">
                  <c:v>2.03017</c:v>
                </c:pt>
                <c:pt idx="15">
                  <c:v>1.9451860000000001</c:v>
                </c:pt>
                <c:pt idx="16">
                  <c:v>2.011285</c:v>
                </c:pt>
                <c:pt idx="17">
                  <c:v>1.926301</c:v>
                </c:pt>
                <c:pt idx="18">
                  <c:v>1.8790879999999999</c:v>
                </c:pt>
                <c:pt idx="19">
                  <c:v>1.926301</c:v>
                </c:pt>
                <c:pt idx="20">
                  <c:v>1.8413170000000001</c:v>
                </c:pt>
                <c:pt idx="21">
                  <c:v>1.8602030000000001</c:v>
                </c:pt>
                <c:pt idx="22">
                  <c:v>1.973514</c:v>
                </c:pt>
                <c:pt idx="23">
                  <c:v>2.0773839999999999</c:v>
                </c:pt>
                <c:pt idx="24">
                  <c:v>1.7657759856630701</c:v>
                </c:pt>
                <c:pt idx="25">
                  <c:v>1.8507598566307999</c:v>
                </c:pt>
                <c:pt idx="26">
                  <c:v>1.7752186379927899</c:v>
                </c:pt>
                <c:pt idx="27">
                  <c:v>1.70912007168461</c:v>
                </c:pt>
                <c:pt idx="28">
                  <c:v>1.8979731182795501</c:v>
                </c:pt>
                <c:pt idx="29">
                  <c:v>1.8129892473118201</c:v>
                </c:pt>
                <c:pt idx="30">
                  <c:v>1.8885304659498299</c:v>
                </c:pt>
                <c:pt idx="31">
                  <c:v>1.8885304659498299</c:v>
                </c:pt>
                <c:pt idx="32">
                  <c:v>2.0396129032257897</c:v>
                </c:pt>
                <c:pt idx="33">
                  <c:v>1.91685842293903</c:v>
                </c:pt>
                <c:pt idx="34">
                  <c:v>1.94518637992829</c:v>
                </c:pt>
                <c:pt idx="35">
                  <c:v>1.7846612903225598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3-49F7-8B78-2D8C8AD4E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760687"/>
        <c:axId val="1569763567"/>
      </c:scatterChart>
      <c:valAx>
        <c:axId val="1569760687"/>
        <c:scaling>
          <c:orientation val="minMax"/>
          <c:max val="0.85000000000000009"/>
          <c:min val="0.585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63567"/>
        <c:crosses val="autoZero"/>
        <c:crossBetween val="midCat"/>
      </c:valAx>
      <c:valAx>
        <c:axId val="1569763567"/>
        <c:scaling>
          <c:orientation val="minMax"/>
          <c:max val="2.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6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371474</xdr:colOff>
      <xdr:row>0</xdr:row>
      <xdr:rowOff>57149</xdr:rowOff>
    </xdr:from>
    <xdr:to>
      <xdr:col>22</xdr:col>
      <xdr:colOff>171449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9C0F4-ECD3-A979-1EBA-DDAA1B3D0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371474</xdr:colOff>
      <xdr:row>19</xdr:row>
      <xdr:rowOff>66675</xdr:rowOff>
    </xdr:from>
    <xdr:to>
      <xdr:col>22</xdr:col>
      <xdr:colOff>171449</xdr:colOff>
      <xdr:row>42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AD5BA1-F1F2-B235-690D-240F3CDFF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</xdr:row>
      <xdr:rowOff>47626</xdr:rowOff>
    </xdr:from>
    <xdr:to>
      <xdr:col>24</xdr:col>
      <xdr:colOff>76199</xdr:colOff>
      <xdr:row>25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58FC58-83DB-4275-AA53-FADB98661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Ham%20Radio\HamSCI_TDOA_2024\Processed%20Data%20Files\AB5YO\AB5YO%2040M\AB5YO_40M_5jun24_for%20Alex_2.xlsx" TargetMode="External"/><Relationship Id="rId1" Type="http://schemas.openxmlformats.org/officeDocument/2006/relationships/externalLinkPath" Target="/Data/Ham%20Radio/HamSCI_TDOA_2024/Processed%20Data%20Files/AB5YO/AB5YO%2040M/AB5YO_40M_5jun24_for%20Alex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x corr"/>
    </sheetNames>
    <sheetDataSet>
      <sheetData sheetId="0">
        <row r="1">
          <cell r="J1" t="str">
            <v>TDOA(ms)</v>
          </cell>
        </row>
        <row r="3">
          <cell r="I3">
            <v>0.58819444444444446</v>
          </cell>
          <cell r="J3">
            <v>1.6996769999999999</v>
          </cell>
        </row>
        <row r="4">
          <cell r="I4">
            <v>0.59236111111111112</v>
          </cell>
          <cell r="J4">
            <v>1.728005</v>
          </cell>
        </row>
        <row r="5">
          <cell r="I5">
            <v>0.59930555555555554</v>
          </cell>
          <cell r="J5">
            <v>1.7374479999999999</v>
          </cell>
        </row>
        <row r="6">
          <cell r="I6">
            <v>0.60625000000000007</v>
          </cell>
          <cell r="J6">
            <v>1.803547</v>
          </cell>
        </row>
        <row r="7">
          <cell r="I7">
            <v>0.61319444444444449</v>
          </cell>
          <cell r="J7">
            <v>1.7846610000000001</v>
          </cell>
        </row>
        <row r="8">
          <cell r="I8">
            <v>0.62013888888888891</v>
          </cell>
          <cell r="J8">
            <v>1.869645</v>
          </cell>
        </row>
        <row r="9">
          <cell r="I9">
            <v>0.62083333333333335</v>
          </cell>
          <cell r="J9">
            <v>1.7752189999999999</v>
          </cell>
        </row>
        <row r="10">
          <cell r="I10">
            <v>0.62708333333333333</v>
          </cell>
          <cell r="J10">
            <v>1.8790879999999999</v>
          </cell>
        </row>
        <row r="11">
          <cell r="I11">
            <v>0.63402777777777775</v>
          </cell>
          <cell r="J11">
            <v>1.8413170000000001</v>
          </cell>
        </row>
        <row r="12">
          <cell r="I12">
            <v>0.64097222222222228</v>
          </cell>
          <cell r="J12">
            <v>1.8979730000000001</v>
          </cell>
        </row>
        <row r="13">
          <cell r="I13">
            <v>0.6479166666666667</v>
          </cell>
          <cell r="J13">
            <v>2.0018420000000003</v>
          </cell>
        </row>
        <row r="14">
          <cell r="I14">
            <v>0.65486111111111112</v>
          </cell>
          <cell r="J14">
            <v>1.803547</v>
          </cell>
        </row>
        <row r="15">
          <cell r="I15">
            <v>0.66249999999999998</v>
          </cell>
          <cell r="J15">
            <v>2.0396130000000001</v>
          </cell>
        </row>
        <row r="16">
          <cell r="I16">
            <v>0.67569444444444438</v>
          </cell>
          <cell r="J16">
            <v>2.03017</v>
          </cell>
        </row>
        <row r="17">
          <cell r="I17">
            <v>0.6826388888888888</v>
          </cell>
          <cell r="J17">
            <v>1.9451860000000001</v>
          </cell>
        </row>
        <row r="18">
          <cell r="I18">
            <v>0.68958333333333333</v>
          </cell>
          <cell r="J18">
            <v>2.011285</v>
          </cell>
        </row>
        <row r="19">
          <cell r="I19">
            <v>0.69722222222222219</v>
          </cell>
          <cell r="J19">
            <v>1.926301</v>
          </cell>
        </row>
        <row r="20">
          <cell r="I20">
            <v>0.70347222222222217</v>
          </cell>
          <cell r="J20">
            <v>1.8790879999999999</v>
          </cell>
        </row>
        <row r="21">
          <cell r="I21">
            <v>0.7104166666666667</v>
          </cell>
          <cell r="J21">
            <v>1.926301</v>
          </cell>
        </row>
        <row r="22">
          <cell r="I22">
            <v>0.71736111111111112</v>
          </cell>
          <cell r="J22">
            <v>1.8413170000000001</v>
          </cell>
        </row>
        <row r="23">
          <cell r="I23">
            <v>0.72430555555555554</v>
          </cell>
          <cell r="J23">
            <v>1.8602030000000001</v>
          </cell>
        </row>
        <row r="24">
          <cell r="I24">
            <v>0.73125000000000007</v>
          </cell>
          <cell r="J24">
            <v>1.973514</v>
          </cell>
        </row>
        <row r="25">
          <cell r="I25">
            <v>0.74513888888888891</v>
          </cell>
          <cell r="J25">
            <v>2.0773839999999999</v>
          </cell>
        </row>
        <row r="26">
          <cell r="I26">
            <v>0.75208333333333333</v>
          </cell>
          <cell r="J26">
            <v>1.7657759856630701</v>
          </cell>
        </row>
        <row r="27">
          <cell r="I27">
            <v>0.75902777777777775</v>
          </cell>
          <cell r="J27">
            <v>1.8507598566307999</v>
          </cell>
        </row>
        <row r="28">
          <cell r="I28">
            <v>0.76597222222222228</v>
          </cell>
          <cell r="J28">
            <v>1.7752186379927899</v>
          </cell>
        </row>
        <row r="29">
          <cell r="I29">
            <v>0.7729166666666667</v>
          </cell>
          <cell r="J29">
            <v>1.70912007168461</v>
          </cell>
        </row>
        <row r="30">
          <cell r="I30">
            <v>0.77986111111111112</v>
          </cell>
          <cell r="J30">
            <v>1.8979731182795501</v>
          </cell>
        </row>
        <row r="31">
          <cell r="I31">
            <v>0.78680555555555554</v>
          </cell>
          <cell r="J31">
            <v>1.8129892473118201</v>
          </cell>
        </row>
        <row r="32">
          <cell r="I32">
            <v>0.79374999999999996</v>
          </cell>
          <cell r="J32">
            <v>1.8885304659498299</v>
          </cell>
        </row>
        <row r="33">
          <cell r="I33">
            <v>0.80069444444444438</v>
          </cell>
          <cell r="J33">
            <v>1.8885304659498299</v>
          </cell>
        </row>
        <row r="34">
          <cell r="I34">
            <v>0.80972222222222223</v>
          </cell>
          <cell r="J34">
            <v>2.0396129032257897</v>
          </cell>
        </row>
        <row r="35">
          <cell r="I35">
            <v>0.81597222222222221</v>
          </cell>
          <cell r="J35">
            <v>1.91685842293903</v>
          </cell>
        </row>
        <row r="36">
          <cell r="I36">
            <v>0.82847222222222217</v>
          </cell>
          <cell r="J36">
            <v>1.94518637992829</v>
          </cell>
        </row>
        <row r="37">
          <cell r="I37">
            <v>0.84236111111111112</v>
          </cell>
          <cell r="J37">
            <v>1.7846612903225598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E29-0024-44A0-8492-C8B7AEB75772}">
  <dimension ref="A1:I51"/>
  <sheetViews>
    <sheetView tabSelected="1" topLeftCell="A2" workbookViewId="0">
      <selection activeCell="Y21" sqref="Y21"/>
    </sheetView>
  </sheetViews>
  <sheetFormatPr defaultRowHeight="15" x14ac:dyDescent="0.25"/>
  <cols>
    <col min="1" max="1" width="13.5703125" bestFit="1" customWidth="1"/>
    <col min="2" max="2" width="25.7109375" bestFit="1" customWidth="1"/>
    <col min="3" max="3" width="24.5703125" bestFit="1" customWidth="1"/>
  </cols>
  <sheetData>
    <row r="1" spans="1:9" ht="35.25" customHeight="1" x14ac:dyDescent="0.25">
      <c r="A1" s="16" t="s">
        <v>51</v>
      </c>
      <c r="B1" s="16"/>
      <c r="C1" s="16"/>
      <c r="D1" s="15" t="s">
        <v>49</v>
      </c>
      <c r="E1" s="15"/>
      <c r="H1" s="15" t="s">
        <v>50</v>
      </c>
      <c r="I1" s="15"/>
    </row>
    <row r="2" spans="1:9" ht="45" x14ac:dyDescent="0.25">
      <c r="A2" t="s">
        <v>0</v>
      </c>
      <c r="B2" t="s">
        <v>1</v>
      </c>
      <c r="C2" t="s">
        <v>2</v>
      </c>
      <c r="E2" s="12" t="s">
        <v>2</v>
      </c>
      <c r="H2" s="9" t="s">
        <v>11</v>
      </c>
      <c r="I2" s="9" t="s">
        <v>12</v>
      </c>
    </row>
    <row r="3" spans="1:9" x14ac:dyDescent="0.25">
      <c r="A3" s="13">
        <v>45390.588194444441</v>
      </c>
      <c r="B3">
        <v>1.69</v>
      </c>
      <c r="C3">
        <v>1.728</v>
      </c>
      <c r="D3" s="10">
        <v>0.58819444444444446</v>
      </c>
      <c r="E3" s="11">
        <v>1.6996769999999999</v>
      </c>
      <c r="H3" s="10">
        <v>0.58819444444444446</v>
      </c>
      <c r="I3" s="11">
        <v>1.6996769999999999</v>
      </c>
    </row>
    <row r="4" spans="1:9" x14ac:dyDescent="0.25">
      <c r="A4" s="13">
        <v>45390.592361111114</v>
      </c>
      <c r="B4">
        <v>1.8</v>
      </c>
      <c r="C4">
        <v>1.7370000000000001</v>
      </c>
      <c r="D4" s="10">
        <v>0.59236111111111112</v>
      </c>
      <c r="E4" s="11">
        <v>1.728005</v>
      </c>
      <c r="H4" s="10">
        <v>0.59236111111111112</v>
      </c>
      <c r="I4" s="11">
        <v>1.728005</v>
      </c>
    </row>
    <row r="5" spans="1:9" x14ac:dyDescent="0.25">
      <c r="A5" s="13">
        <v>45390.599305555559</v>
      </c>
      <c r="B5">
        <v>1.84</v>
      </c>
      <c r="C5">
        <v>1.804</v>
      </c>
      <c r="D5" s="10">
        <v>0.59930555555555554</v>
      </c>
      <c r="E5" s="11">
        <v>1.7374479999999999</v>
      </c>
      <c r="H5" s="10">
        <v>0.59930555555555554</v>
      </c>
      <c r="I5" s="11">
        <v>1.7374479999999999</v>
      </c>
    </row>
    <row r="6" spans="1:9" x14ac:dyDescent="0.25">
      <c r="A6" s="13">
        <v>45390.606249999997</v>
      </c>
      <c r="B6">
        <v>1.86</v>
      </c>
      <c r="C6">
        <v>1.7849999999999999</v>
      </c>
      <c r="D6" s="10">
        <v>0.60625000000000007</v>
      </c>
      <c r="E6" s="11">
        <v>1.803547</v>
      </c>
      <c r="H6" s="10">
        <v>0.60625000000000007</v>
      </c>
      <c r="I6" s="11">
        <v>1.803547</v>
      </c>
    </row>
    <row r="7" spans="1:9" x14ac:dyDescent="0.25">
      <c r="A7" s="13">
        <v>45390.613194444442</v>
      </c>
      <c r="B7">
        <v>1.86</v>
      </c>
      <c r="C7">
        <v>1.87</v>
      </c>
      <c r="D7" s="10">
        <v>0.61319444444444449</v>
      </c>
      <c r="E7" s="11">
        <v>1.7846610000000001</v>
      </c>
      <c r="H7" s="10">
        <v>0.61319444444444449</v>
      </c>
      <c r="I7" s="11">
        <v>1.7846610000000001</v>
      </c>
    </row>
    <row r="8" spans="1:9" x14ac:dyDescent="0.25">
      <c r="A8" s="13">
        <v>45390.620138888888</v>
      </c>
      <c r="B8">
        <v>1.94</v>
      </c>
      <c r="C8">
        <v>1.7749999999999999</v>
      </c>
      <c r="D8" s="10">
        <v>0.62013888888888891</v>
      </c>
      <c r="E8" s="11">
        <v>1.869645</v>
      </c>
      <c r="H8" s="10">
        <v>0.62013888888888891</v>
      </c>
      <c r="I8" s="11">
        <v>1.869645</v>
      </c>
    </row>
    <row r="9" spans="1:9" x14ac:dyDescent="0.25">
      <c r="A9" s="13">
        <v>45390.620833333334</v>
      </c>
      <c r="B9">
        <v>1.9</v>
      </c>
      <c r="C9">
        <v>1.879</v>
      </c>
      <c r="D9" s="10">
        <v>0.62083333333333335</v>
      </c>
      <c r="E9" s="11">
        <v>1.7752189999999999</v>
      </c>
      <c r="H9" s="10">
        <v>0.62083333333333335</v>
      </c>
      <c r="I9" s="11">
        <v>1.7752189999999999</v>
      </c>
    </row>
    <row r="10" spans="1:9" x14ac:dyDescent="0.25">
      <c r="A10" s="13">
        <v>45390.627083333333</v>
      </c>
      <c r="B10">
        <v>1.88</v>
      </c>
      <c r="C10">
        <v>1.841</v>
      </c>
      <c r="D10" s="10">
        <v>0.62708333333333333</v>
      </c>
      <c r="E10" s="11">
        <v>1.8790879999999999</v>
      </c>
      <c r="H10" s="10">
        <v>0.62708333333333333</v>
      </c>
      <c r="I10" s="11">
        <v>1.8790879999999999</v>
      </c>
    </row>
    <row r="11" spans="1:9" x14ac:dyDescent="0.25">
      <c r="A11" s="13">
        <v>45390.634027777778</v>
      </c>
      <c r="B11">
        <v>2.04</v>
      </c>
      <c r="C11">
        <v>1.8979999999999999</v>
      </c>
      <c r="D11" s="10">
        <v>0.63402777777777775</v>
      </c>
      <c r="E11" s="11">
        <v>1.8413170000000001</v>
      </c>
      <c r="H11" s="10">
        <v>0.63402777777777775</v>
      </c>
      <c r="I11" s="11">
        <v>1.8413170000000001</v>
      </c>
    </row>
    <row r="12" spans="1:9" x14ac:dyDescent="0.25">
      <c r="A12" s="13">
        <v>45390.640972222223</v>
      </c>
      <c r="B12">
        <v>2.04</v>
      </c>
      <c r="C12">
        <v>2.0019999999999998</v>
      </c>
      <c r="D12" s="10">
        <v>0.64097222222222228</v>
      </c>
      <c r="E12" s="11">
        <v>1.8979730000000001</v>
      </c>
      <c r="H12" s="10">
        <v>0.64097222222222228</v>
      </c>
      <c r="I12" s="11">
        <v>1.8979730000000001</v>
      </c>
    </row>
    <row r="13" spans="1:9" x14ac:dyDescent="0.25">
      <c r="A13" s="13">
        <v>45390.647916666669</v>
      </c>
      <c r="B13">
        <v>2.04</v>
      </c>
      <c r="C13">
        <v>1.804</v>
      </c>
      <c r="D13" s="10">
        <v>0.6479166666666667</v>
      </c>
      <c r="E13" s="11">
        <v>2.0018420000000003</v>
      </c>
      <c r="H13" s="10">
        <v>0.6479166666666667</v>
      </c>
      <c r="I13" s="11">
        <v>2.0018420000000003</v>
      </c>
    </row>
    <row r="14" spans="1:9" x14ac:dyDescent="0.25">
      <c r="A14" s="13">
        <v>45390.654861111114</v>
      </c>
      <c r="B14">
        <v>2.08</v>
      </c>
      <c r="C14">
        <v>2.04</v>
      </c>
      <c r="D14" s="10">
        <v>0.65486111111111112</v>
      </c>
      <c r="E14" s="11">
        <v>1.803547</v>
      </c>
      <c r="H14" s="10">
        <v>0.65486111111111112</v>
      </c>
      <c r="I14" s="11">
        <v>1.803547</v>
      </c>
    </row>
    <row r="15" spans="1:9" x14ac:dyDescent="0.25">
      <c r="A15" s="13">
        <v>45390.662499999999</v>
      </c>
      <c r="B15">
        <v>2.08</v>
      </c>
      <c r="D15" s="10">
        <v>0.66249999999999998</v>
      </c>
      <c r="E15" s="11">
        <v>2.0396130000000001</v>
      </c>
      <c r="H15" s="10">
        <v>0.66249999999999998</v>
      </c>
      <c r="I15" s="11">
        <v>2.0396130000000001</v>
      </c>
    </row>
    <row r="16" spans="1:9" x14ac:dyDescent="0.25">
      <c r="A16" s="13">
        <v>45390.668749999997</v>
      </c>
      <c r="B16">
        <v>2.02</v>
      </c>
      <c r="C16">
        <v>2.0299999999999998</v>
      </c>
      <c r="H16" s="10">
        <v>0.67569444444444438</v>
      </c>
      <c r="I16" s="11">
        <v>2.03017</v>
      </c>
    </row>
    <row r="17" spans="1:9" x14ac:dyDescent="0.25">
      <c r="A17" s="13">
        <v>45390.675694444442</v>
      </c>
      <c r="B17">
        <v>1.94</v>
      </c>
      <c r="C17">
        <v>1.9450000000000001</v>
      </c>
      <c r="D17" s="10">
        <v>0.67569444444444438</v>
      </c>
      <c r="E17" s="11">
        <v>2.03017</v>
      </c>
      <c r="H17" s="10">
        <v>0.6826388888888888</v>
      </c>
      <c r="I17" s="11">
        <v>1.9451860000000001</v>
      </c>
    </row>
    <row r="18" spans="1:9" x14ac:dyDescent="0.25">
      <c r="A18" s="13">
        <v>45390.682638888888</v>
      </c>
      <c r="B18">
        <v>1.92</v>
      </c>
      <c r="C18">
        <v>2.0110000000000001</v>
      </c>
      <c r="D18" s="10">
        <v>0.6826388888888888</v>
      </c>
      <c r="E18" s="11">
        <v>1.9451860000000001</v>
      </c>
      <c r="H18" s="10">
        <v>0.68958333333333333</v>
      </c>
      <c r="I18" s="11">
        <v>2.011285</v>
      </c>
    </row>
    <row r="19" spans="1:9" x14ac:dyDescent="0.25">
      <c r="A19" s="13">
        <v>45390.689583333333</v>
      </c>
      <c r="B19">
        <v>1.97</v>
      </c>
      <c r="C19">
        <v>1.9259999999999999</v>
      </c>
      <c r="D19" s="10">
        <v>0.68958333333333333</v>
      </c>
      <c r="E19" s="11">
        <v>2.011285</v>
      </c>
      <c r="H19" s="10">
        <v>0.69722222222222219</v>
      </c>
      <c r="I19" s="11">
        <v>1.926301</v>
      </c>
    </row>
    <row r="20" spans="1:9" x14ac:dyDescent="0.25">
      <c r="A20" s="13">
        <v>45390.697222222225</v>
      </c>
      <c r="B20">
        <v>1.97</v>
      </c>
      <c r="C20">
        <v>1.879</v>
      </c>
      <c r="D20" s="10">
        <v>0.69722222222222219</v>
      </c>
      <c r="E20" s="11">
        <v>1.926301</v>
      </c>
      <c r="H20" s="10">
        <v>0.70347222222222217</v>
      </c>
      <c r="I20" s="11">
        <v>1.8790879999999999</v>
      </c>
    </row>
    <row r="21" spans="1:9" x14ac:dyDescent="0.25">
      <c r="A21" s="13">
        <v>45390.703472222223</v>
      </c>
      <c r="B21">
        <v>1.86</v>
      </c>
      <c r="C21">
        <v>1.9259999999999999</v>
      </c>
      <c r="D21" s="10">
        <v>0.70347222222222217</v>
      </c>
      <c r="E21" s="11">
        <v>1.8790879999999999</v>
      </c>
      <c r="H21" s="10">
        <v>0.7104166666666667</v>
      </c>
      <c r="I21" s="11">
        <v>1.926301</v>
      </c>
    </row>
    <row r="22" spans="1:9" x14ac:dyDescent="0.25">
      <c r="A22" s="13">
        <v>45390.710416666669</v>
      </c>
      <c r="B22">
        <v>1.9</v>
      </c>
      <c r="C22">
        <v>1.841</v>
      </c>
      <c r="D22" s="10">
        <v>0.7104166666666667</v>
      </c>
      <c r="E22" s="11">
        <v>1.926301</v>
      </c>
      <c r="H22" s="10">
        <v>0.71736111111111112</v>
      </c>
      <c r="I22" s="11">
        <v>1.8413170000000001</v>
      </c>
    </row>
    <row r="23" spans="1:9" x14ac:dyDescent="0.25">
      <c r="A23" s="13">
        <v>45390.717361111114</v>
      </c>
      <c r="B23">
        <v>1.91</v>
      </c>
      <c r="C23">
        <v>1.86</v>
      </c>
      <c r="D23" s="10">
        <v>0.71736111111111112</v>
      </c>
      <c r="E23" s="11">
        <v>1.8413170000000001</v>
      </c>
      <c r="H23" s="10">
        <v>0.72430555555555554</v>
      </c>
      <c r="I23" s="11">
        <v>1.8602030000000001</v>
      </c>
    </row>
    <row r="24" spans="1:9" x14ac:dyDescent="0.25">
      <c r="A24" s="13">
        <v>45390.724305555559</v>
      </c>
      <c r="B24">
        <v>1.9</v>
      </c>
      <c r="C24">
        <v>1.974</v>
      </c>
      <c r="D24" s="10">
        <v>0.72430555555555554</v>
      </c>
      <c r="E24" s="11">
        <v>1.8602030000000001</v>
      </c>
      <c r="H24" s="10">
        <v>0.73125000000000007</v>
      </c>
      <c r="I24" s="11">
        <v>1.973514</v>
      </c>
    </row>
    <row r="25" spans="1:9" x14ac:dyDescent="0.25">
      <c r="A25" s="13">
        <v>45390.731249999997</v>
      </c>
      <c r="B25">
        <v>1.91</v>
      </c>
      <c r="C25">
        <v>2.077</v>
      </c>
      <c r="D25" s="10">
        <v>0.73125000000000007</v>
      </c>
      <c r="E25" s="11">
        <v>1.973514</v>
      </c>
      <c r="H25" s="10">
        <v>0.74513888888888891</v>
      </c>
      <c r="I25" s="11">
        <v>2.0773839999999999</v>
      </c>
    </row>
    <row r="26" spans="1:9" x14ac:dyDescent="0.25">
      <c r="A26" s="13">
        <v>45390.738194444442</v>
      </c>
      <c r="B26">
        <v>1.82</v>
      </c>
      <c r="C26">
        <v>1.766</v>
      </c>
      <c r="H26" s="10">
        <v>0.75208333333333333</v>
      </c>
      <c r="I26" s="11">
        <v>1.7657759856630701</v>
      </c>
    </row>
    <row r="27" spans="1:9" x14ac:dyDescent="0.25">
      <c r="A27" s="13">
        <v>45390.745138888888</v>
      </c>
      <c r="B27">
        <v>1.91</v>
      </c>
      <c r="C27">
        <v>1.851</v>
      </c>
      <c r="D27" s="10">
        <v>0.74513888888888891</v>
      </c>
      <c r="E27" s="11">
        <v>2.0773839999999999</v>
      </c>
      <c r="H27" s="10">
        <v>0.75902777777777775</v>
      </c>
      <c r="I27" s="11">
        <v>1.8507598566307999</v>
      </c>
    </row>
    <row r="28" spans="1:9" x14ac:dyDescent="0.25">
      <c r="A28" s="13">
        <v>45390.752083333333</v>
      </c>
      <c r="B28">
        <v>1.84</v>
      </c>
      <c r="C28">
        <v>1.7749999999999999</v>
      </c>
      <c r="D28" s="10">
        <v>0.75208333333333333</v>
      </c>
      <c r="E28" s="11">
        <v>1.7657759856630701</v>
      </c>
      <c r="H28" s="10">
        <v>0.76597222222222228</v>
      </c>
      <c r="I28" s="11">
        <v>1.7752186379927899</v>
      </c>
    </row>
    <row r="29" spans="1:9" x14ac:dyDescent="0.25">
      <c r="A29" s="13">
        <v>45390.759027777778</v>
      </c>
      <c r="B29">
        <v>1.84</v>
      </c>
      <c r="D29" s="10">
        <v>0.75902777777777775</v>
      </c>
      <c r="E29" s="11">
        <v>1.8507598566307999</v>
      </c>
      <c r="H29" s="10">
        <v>0.7729166666666667</v>
      </c>
      <c r="I29" s="11">
        <v>1.70912007168461</v>
      </c>
    </row>
    <row r="30" spans="1:9" x14ac:dyDescent="0.25">
      <c r="A30" s="13">
        <v>45390.765972222223</v>
      </c>
      <c r="B30">
        <v>1.76</v>
      </c>
      <c r="C30">
        <v>1.7090000000000001</v>
      </c>
      <c r="D30" s="10">
        <v>0.76597222222222228</v>
      </c>
      <c r="E30" s="11">
        <v>1.7752186379927899</v>
      </c>
      <c r="H30" s="10">
        <v>0.77986111111111112</v>
      </c>
      <c r="I30" s="11">
        <v>1.8979731182795501</v>
      </c>
    </row>
    <row r="31" spans="1:9" x14ac:dyDescent="0.25">
      <c r="A31" s="13">
        <v>45390.767361111109</v>
      </c>
      <c r="B31">
        <v>1.93</v>
      </c>
      <c r="H31" s="10">
        <v>0.78680555555555554</v>
      </c>
      <c r="I31" s="11">
        <v>1.8129892473118201</v>
      </c>
    </row>
    <row r="32" spans="1:9" x14ac:dyDescent="0.25">
      <c r="A32" s="13">
        <v>45390.772916666669</v>
      </c>
      <c r="B32">
        <v>1.97</v>
      </c>
      <c r="C32">
        <v>1.8979999999999999</v>
      </c>
      <c r="D32" s="10">
        <v>0.7729166666666667</v>
      </c>
      <c r="E32" s="11">
        <v>1.70912007168461</v>
      </c>
      <c r="H32" s="10">
        <v>0.79374999999999996</v>
      </c>
      <c r="I32" s="11">
        <v>1.8885304659498299</v>
      </c>
    </row>
    <row r="33" spans="1:9" x14ac:dyDescent="0.25">
      <c r="A33" s="13">
        <v>45390.777777777781</v>
      </c>
      <c r="B33">
        <v>1.97</v>
      </c>
      <c r="H33" s="10">
        <v>0.80069444444444438</v>
      </c>
      <c r="I33" s="11">
        <v>1.8885304659498299</v>
      </c>
    </row>
    <row r="34" spans="1:9" x14ac:dyDescent="0.25">
      <c r="A34" s="13">
        <v>45390.779861111114</v>
      </c>
      <c r="B34">
        <v>1.99</v>
      </c>
      <c r="C34">
        <v>1.8129999999999999</v>
      </c>
      <c r="D34" s="10">
        <v>0.77986111111111112</v>
      </c>
      <c r="E34" s="11">
        <v>1.8979731182795501</v>
      </c>
      <c r="H34" s="10">
        <v>0.80972222222222223</v>
      </c>
      <c r="I34" s="11">
        <v>2.0396129032257897</v>
      </c>
    </row>
    <row r="35" spans="1:9" x14ac:dyDescent="0.25">
      <c r="A35" s="13">
        <v>45390.78125</v>
      </c>
      <c r="B35">
        <v>2.0499999999999998</v>
      </c>
      <c r="H35" s="10">
        <v>0.81597222222222221</v>
      </c>
      <c r="I35" s="11">
        <v>1.91685842293903</v>
      </c>
    </row>
    <row r="36" spans="1:9" x14ac:dyDescent="0.25">
      <c r="A36" s="13">
        <v>45390.786805555559</v>
      </c>
      <c r="B36">
        <v>2.0099999999999998</v>
      </c>
      <c r="D36" s="10">
        <v>0.78680555555555554</v>
      </c>
      <c r="E36" s="11">
        <v>1.8129892473118201</v>
      </c>
      <c r="H36" s="10">
        <v>0.82847222222222217</v>
      </c>
      <c r="I36" s="11">
        <v>1.94518637992829</v>
      </c>
    </row>
    <row r="37" spans="1:9" x14ac:dyDescent="0.25">
      <c r="A37" s="13">
        <v>45390.787499999999</v>
      </c>
      <c r="B37">
        <v>2</v>
      </c>
      <c r="H37" s="10">
        <v>0.84236111111111112</v>
      </c>
      <c r="I37" s="11">
        <v>1.7846612903225598</v>
      </c>
    </row>
    <row r="38" spans="1:9" x14ac:dyDescent="0.25">
      <c r="A38" s="13">
        <v>45390.792361111111</v>
      </c>
      <c r="B38">
        <v>1.99</v>
      </c>
      <c r="C38">
        <v>1.889</v>
      </c>
    </row>
    <row r="39" spans="1:9" x14ac:dyDescent="0.25">
      <c r="A39" s="13">
        <v>45390.793055555558</v>
      </c>
      <c r="B39">
        <v>2.02</v>
      </c>
    </row>
    <row r="40" spans="1:9" x14ac:dyDescent="0.25">
      <c r="A40" s="13">
        <v>45390.793749999997</v>
      </c>
      <c r="B40">
        <v>2.02</v>
      </c>
      <c r="C40">
        <v>1.889</v>
      </c>
      <c r="D40" s="10">
        <v>0.79374999999999996</v>
      </c>
      <c r="E40" s="11">
        <v>1.8885304659498299</v>
      </c>
    </row>
    <row r="41" spans="1:9" x14ac:dyDescent="0.25">
      <c r="A41" s="13">
        <v>45390.795138888891</v>
      </c>
      <c r="B41">
        <v>2.02</v>
      </c>
    </row>
    <row r="42" spans="1:9" x14ac:dyDescent="0.25">
      <c r="A42" s="13">
        <v>45390.800694444442</v>
      </c>
      <c r="B42">
        <v>2.0099999999999998</v>
      </c>
      <c r="D42" s="10">
        <v>0.80069444444444438</v>
      </c>
      <c r="E42" s="11">
        <v>1.8885304659498299</v>
      </c>
    </row>
    <row r="43" spans="1:9" x14ac:dyDescent="0.25">
      <c r="A43" s="13">
        <v>45390.805555555555</v>
      </c>
      <c r="B43">
        <v>1.97</v>
      </c>
      <c r="C43">
        <v>2.04</v>
      </c>
    </row>
    <row r="44" spans="1:9" x14ac:dyDescent="0.25">
      <c r="A44" s="13">
        <v>45390.806944444441</v>
      </c>
      <c r="B44">
        <v>1.96</v>
      </c>
    </row>
    <row r="45" spans="1:9" x14ac:dyDescent="0.25">
      <c r="A45" s="13">
        <v>45390.80972222222</v>
      </c>
      <c r="B45">
        <v>1.92</v>
      </c>
      <c r="C45">
        <v>1.917</v>
      </c>
      <c r="D45" s="10">
        <v>0.80972222222222223</v>
      </c>
      <c r="E45" s="11">
        <v>2.0396129032257897</v>
      </c>
    </row>
    <row r="46" spans="1:9" x14ac:dyDescent="0.25">
      <c r="A46" s="13">
        <v>45390.81527777778</v>
      </c>
      <c r="B46">
        <v>1.93</v>
      </c>
    </row>
    <row r="47" spans="1:9" x14ac:dyDescent="0.25">
      <c r="A47" s="13">
        <v>45390.815972222219</v>
      </c>
      <c r="B47">
        <v>1.95</v>
      </c>
      <c r="C47">
        <v>1.9450000000000001</v>
      </c>
      <c r="D47" s="10">
        <v>0.81597222222222221</v>
      </c>
      <c r="E47" s="11">
        <v>1.91685842293903</v>
      </c>
    </row>
    <row r="48" spans="1:9" x14ac:dyDescent="0.25">
      <c r="A48" s="13">
        <v>45390.821527777778</v>
      </c>
      <c r="B48">
        <v>1.91</v>
      </c>
    </row>
    <row r="49" spans="1:5" x14ac:dyDescent="0.25">
      <c r="A49" s="13">
        <v>45390.828472222223</v>
      </c>
      <c r="B49">
        <v>1.9</v>
      </c>
      <c r="C49">
        <v>1.7849999999999999</v>
      </c>
      <c r="D49" s="10">
        <v>0.82847222222222217</v>
      </c>
      <c r="E49" s="11">
        <v>1.94518637992829</v>
      </c>
    </row>
    <row r="50" spans="1:5" x14ac:dyDescent="0.25">
      <c r="A50" s="13">
        <v>45390.837500000001</v>
      </c>
      <c r="B50">
        <v>1.91</v>
      </c>
      <c r="C50">
        <v>1.79</v>
      </c>
    </row>
    <row r="51" spans="1:5" x14ac:dyDescent="0.25">
      <c r="A51" s="13">
        <v>45390.842361111114</v>
      </c>
      <c r="B51">
        <v>1.89</v>
      </c>
      <c r="D51" s="10">
        <v>0.84236111111111112</v>
      </c>
      <c r="E51" s="11">
        <v>1.7846612903225598</v>
      </c>
    </row>
  </sheetData>
  <mergeCells count="3">
    <mergeCell ref="H1:I1"/>
    <mergeCell ref="D1:E1"/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8C60-E6B9-40C6-9176-0F90E12061D7}">
  <dimension ref="A1:C51"/>
  <sheetViews>
    <sheetView workbookViewId="0">
      <selection activeCell="G18" sqref="G18"/>
    </sheetView>
  </sheetViews>
  <sheetFormatPr defaultRowHeight="15" x14ac:dyDescent="0.25"/>
  <cols>
    <col min="1" max="1" width="13.5703125" bestFit="1" customWidth="1"/>
    <col min="2" max="2" width="25.7109375" bestFit="1" customWidth="1"/>
    <col min="3" max="3" width="24.5703125" bestFit="1" customWidth="1"/>
  </cols>
  <sheetData>
    <row r="1" spans="1:3" x14ac:dyDescent="0.25">
      <c r="A1" s="14" t="s">
        <v>53</v>
      </c>
      <c r="B1" s="14"/>
      <c r="C1" s="14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s="1">
        <v>45390.588194444441</v>
      </c>
      <c r="B3">
        <v>1.69</v>
      </c>
      <c r="C3">
        <v>1.728</v>
      </c>
    </row>
    <row r="4" spans="1:3" x14ac:dyDescent="0.25">
      <c r="A4" s="1">
        <v>45390.592361111114</v>
      </c>
      <c r="B4">
        <v>1.8</v>
      </c>
      <c r="C4">
        <v>1.7370000000000001</v>
      </c>
    </row>
    <row r="5" spans="1:3" x14ac:dyDescent="0.25">
      <c r="A5" s="1">
        <v>45390.599305555559</v>
      </c>
      <c r="B5">
        <v>1.84</v>
      </c>
      <c r="C5">
        <v>1.804</v>
      </c>
    </row>
    <row r="6" spans="1:3" x14ac:dyDescent="0.25">
      <c r="A6" s="1">
        <v>45390.606249999997</v>
      </c>
      <c r="B6">
        <v>1.86</v>
      </c>
      <c r="C6">
        <v>1.7849999999999999</v>
      </c>
    </row>
    <row r="7" spans="1:3" x14ac:dyDescent="0.25">
      <c r="A7" s="1">
        <v>45390.613194444442</v>
      </c>
      <c r="B7">
        <v>1.86</v>
      </c>
      <c r="C7">
        <v>1.87</v>
      </c>
    </row>
    <row r="8" spans="1:3" x14ac:dyDescent="0.25">
      <c r="A8" s="1">
        <v>45390.620138888888</v>
      </c>
      <c r="B8">
        <v>1.94</v>
      </c>
      <c r="C8">
        <v>1.7749999999999999</v>
      </c>
    </row>
    <row r="9" spans="1:3" x14ac:dyDescent="0.25">
      <c r="A9" s="1">
        <v>45390.620833333334</v>
      </c>
      <c r="B9">
        <v>1.9</v>
      </c>
      <c r="C9">
        <v>1.879</v>
      </c>
    </row>
    <row r="10" spans="1:3" x14ac:dyDescent="0.25">
      <c r="A10" s="1">
        <v>45390.627083333333</v>
      </c>
      <c r="B10">
        <v>1.88</v>
      </c>
      <c r="C10">
        <v>1.841</v>
      </c>
    </row>
    <row r="11" spans="1:3" x14ac:dyDescent="0.25">
      <c r="A11" s="1">
        <v>45390.634027777778</v>
      </c>
      <c r="B11">
        <v>2.04</v>
      </c>
      <c r="C11">
        <v>1.8979999999999999</v>
      </c>
    </row>
    <row r="12" spans="1:3" x14ac:dyDescent="0.25">
      <c r="A12" s="1">
        <v>45390.640972222223</v>
      </c>
      <c r="B12">
        <v>2.04</v>
      </c>
      <c r="C12">
        <v>2.0019999999999998</v>
      </c>
    </row>
    <row r="13" spans="1:3" x14ac:dyDescent="0.25">
      <c r="A13" s="1">
        <v>45390.647916666669</v>
      </c>
      <c r="B13">
        <v>2.04</v>
      </c>
      <c r="C13">
        <v>1.804</v>
      </c>
    </row>
    <row r="14" spans="1:3" x14ac:dyDescent="0.25">
      <c r="A14" s="1">
        <v>45390.654861111114</v>
      </c>
      <c r="B14">
        <v>2.08</v>
      </c>
      <c r="C14">
        <v>2.04</v>
      </c>
    </row>
    <row r="15" spans="1:3" x14ac:dyDescent="0.25">
      <c r="A15" s="1">
        <v>45390.662499999999</v>
      </c>
      <c r="B15">
        <v>2.08</v>
      </c>
    </row>
    <row r="16" spans="1:3" x14ac:dyDescent="0.25">
      <c r="A16" s="1">
        <v>45390.668749999997</v>
      </c>
      <c r="B16">
        <v>2.02</v>
      </c>
      <c r="C16">
        <v>2.0299999999999998</v>
      </c>
    </row>
    <row r="17" spans="1:3" x14ac:dyDescent="0.25">
      <c r="A17" s="1">
        <v>45390.675694444442</v>
      </c>
      <c r="B17">
        <v>1.94</v>
      </c>
      <c r="C17">
        <v>1.9450000000000001</v>
      </c>
    </row>
    <row r="18" spans="1:3" x14ac:dyDescent="0.25">
      <c r="A18" s="1">
        <v>45390.682638888888</v>
      </c>
      <c r="B18">
        <v>1.92</v>
      </c>
      <c r="C18">
        <v>2.0110000000000001</v>
      </c>
    </row>
    <row r="19" spans="1:3" x14ac:dyDescent="0.25">
      <c r="A19" s="1">
        <v>45390.689583333333</v>
      </c>
      <c r="B19">
        <v>1.97</v>
      </c>
      <c r="C19">
        <v>1.9259999999999999</v>
      </c>
    </row>
    <row r="20" spans="1:3" x14ac:dyDescent="0.25">
      <c r="A20" s="1">
        <v>45390.697222222225</v>
      </c>
      <c r="B20">
        <v>1.97</v>
      </c>
      <c r="C20">
        <v>1.879</v>
      </c>
    </row>
    <row r="21" spans="1:3" x14ac:dyDescent="0.25">
      <c r="A21" s="1">
        <v>45390.703472222223</v>
      </c>
      <c r="B21">
        <v>1.86</v>
      </c>
      <c r="C21">
        <v>1.9259999999999999</v>
      </c>
    </row>
    <row r="22" spans="1:3" x14ac:dyDescent="0.25">
      <c r="A22" s="1">
        <v>45390.710416666669</v>
      </c>
      <c r="B22">
        <v>1.9</v>
      </c>
      <c r="C22">
        <v>1.841</v>
      </c>
    </row>
    <row r="23" spans="1:3" x14ac:dyDescent="0.25">
      <c r="A23" s="1">
        <v>45390.717361111114</v>
      </c>
      <c r="B23">
        <v>1.91</v>
      </c>
      <c r="C23">
        <v>1.86</v>
      </c>
    </row>
    <row r="24" spans="1:3" x14ac:dyDescent="0.25">
      <c r="A24" s="1">
        <v>45390.724305555559</v>
      </c>
      <c r="B24">
        <v>1.9</v>
      </c>
      <c r="C24">
        <v>1.974</v>
      </c>
    </row>
    <row r="25" spans="1:3" x14ac:dyDescent="0.25">
      <c r="A25" s="1">
        <v>45390.731249999997</v>
      </c>
      <c r="B25">
        <v>1.91</v>
      </c>
      <c r="C25">
        <v>2.077</v>
      </c>
    </row>
    <row r="26" spans="1:3" x14ac:dyDescent="0.25">
      <c r="A26" s="1">
        <v>45390.738194444442</v>
      </c>
      <c r="B26">
        <v>1.82</v>
      </c>
      <c r="C26">
        <v>1.766</v>
      </c>
    </row>
    <row r="27" spans="1:3" x14ac:dyDescent="0.25">
      <c r="A27" s="1">
        <v>45390.745138888888</v>
      </c>
      <c r="B27">
        <v>1.91</v>
      </c>
      <c r="C27">
        <v>1.851</v>
      </c>
    </row>
    <row r="28" spans="1:3" x14ac:dyDescent="0.25">
      <c r="A28" s="1">
        <v>45390.752083333333</v>
      </c>
      <c r="B28">
        <v>1.84</v>
      </c>
      <c r="C28">
        <v>1.7749999999999999</v>
      </c>
    </row>
    <row r="29" spans="1:3" x14ac:dyDescent="0.25">
      <c r="A29" s="1">
        <v>45390.759027777778</v>
      </c>
      <c r="B29">
        <v>1.84</v>
      </c>
    </row>
    <row r="30" spans="1:3" x14ac:dyDescent="0.25">
      <c r="A30" s="1">
        <v>45390.765972222223</v>
      </c>
      <c r="B30">
        <v>1.76</v>
      </c>
      <c r="C30">
        <v>1.7090000000000001</v>
      </c>
    </row>
    <row r="31" spans="1:3" x14ac:dyDescent="0.25">
      <c r="A31" s="1">
        <v>45390.767361111109</v>
      </c>
      <c r="B31">
        <v>1.93</v>
      </c>
    </row>
    <row r="32" spans="1:3" x14ac:dyDescent="0.25">
      <c r="A32" s="1">
        <v>45390.772916666669</v>
      </c>
      <c r="B32">
        <v>1.97</v>
      </c>
      <c r="C32">
        <v>1.8979999999999999</v>
      </c>
    </row>
    <row r="33" spans="1:3" x14ac:dyDescent="0.25">
      <c r="A33" s="1">
        <v>45390.777777777781</v>
      </c>
      <c r="B33">
        <v>1.97</v>
      </c>
    </row>
    <row r="34" spans="1:3" x14ac:dyDescent="0.25">
      <c r="A34" s="1">
        <v>45390.779861111114</v>
      </c>
      <c r="B34">
        <v>1.99</v>
      </c>
      <c r="C34">
        <v>1.8129999999999999</v>
      </c>
    </row>
    <row r="35" spans="1:3" x14ac:dyDescent="0.25">
      <c r="A35" s="1">
        <v>45390.78125</v>
      </c>
      <c r="B35">
        <v>2.0499999999999998</v>
      </c>
    </row>
    <row r="36" spans="1:3" x14ac:dyDescent="0.25">
      <c r="A36" s="1">
        <v>45390.786805555559</v>
      </c>
      <c r="B36">
        <v>2.0099999999999998</v>
      </c>
    </row>
    <row r="37" spans="1:3" x14ac:dyDescent="0.25">
      <c r="A37" s="1">
        <v>45390.787499999999</v>
      </c>
      <c r="B37">
        <v>2</v>
      </c>
    </row>
    <row r="38" spans="1:3" x14ac:dyDescent="0.25">
      <c r="A38" s="1">
        <v>45390.792361111111</v>
      </c>
      <c r="B38">
        <v>1.99</v>
      </c>
      <c r="C38">
        <v>1.889</v>
      </c>
    </row>
    <row r="39" spans="1:3" x14ac:dyDescent="0.25">
      <c r="A39" s="1">
        <v>45390.793055555558</v>
      </c>
      <c r="B39">
        <v>2.02</v>
      </c>
    </row>
    <row r="40" spans="1:3" x14ac:dyDescent="0.25">
      <c r="A40" s="1">
        <v>45390.793749999997</v>
      </c>
      <c r="B40">
        <v>2.02</v>
      </c>
      <c r="C40">
        <v>1.889</v>
      </c>
    </row>
    <row r="41" spans="1:3" x14ac:dyDescent="0.25">
      <c r="A41" s="1">
        <v>45390.795138888891</v>
      </c>
      <c r="B41">
        <v>2.02</v>
      </c>
    </row>
    <row r="42" spans="1:3" x14ac:dyDescent="0.25">
      <c r="A42" s="1">
        <v>45390.800694444442</v>
      </c>
      <c r="B42">
        <v>2.0099999999999998</v>
      </c>
    </row>
    <row r="43" spans="1:3" x14ac:dyDescent="0.25">
      <c r="A43" s="1">
        <v>45390.805555555555</v>
      </c>
      <c r="B43">
        <v>1.97</v>
      </c>
      <c r="C43">
        <v>2.04</v>
      </c>
    </row>
    <row r="44" spans="1:3" x14ac:dyDescent="0.25">
      <c r="A44" s="1">
        <v>45390.806944444441</v>
      </c>
      <c r="B44">
        <v>1.96</v>
      </c>
    </row>
    <row r="45" spans="1:3" x14ac:dyDescent="0.25">
      <c r="A45" s="1">
        <v>45390.80972222222</v>
      </c>
      <c r="B45">
        <v>1.92</v>
      </c>
      <c r="C45">
        <v>1.917</v>
      </c>
    </row>
    <row r="46" spans="1:3" x14ac:dyDescent="0.25">
      <c r="A46" s="1">
        <v>45390.81527777778</v>
      </c>
      <c r="B46">
        <v>1.93</v>
      </c>
    </row>
    <row r="47" spans="1:3" x14ac:dyDescent="0.25">
      <c r="A47" s="1">
        <v>45390.815972222219</v>
      </c>
      <c r="B47">
        <v>1.95</v>
      </c>
      <c r="C47">
        <v>1.9450000000000001</v>
      </c>
    </row>
    <row r="48" spans="1:3" x14ac:dyDescent="0.25">
      <c r="A48" s="1">
        <v>45390.821527777778</v>
      </c>
      <c r="B48">
        <v>1.91</v>
      </c>
    </row>
    <row r="49" spans="1:3" x14ac:dyDescent="0.25">
      <c r="A49" s="1">
        <v>45390.828472222223</v>
      </c>
      <c r="B49">
        <v>1.9</v>
      </c>
      <c r="C49">
        <v>1.7849999999999999</v>
      </c>
    </row>
    <row r="50" spans="1:3" x14ac:dyDescent="0.25">
      <c r="A50" s="1">
        <v>45390.837500000001</v>
      </c>
      <c r="B50">
        <v>1.91</v>
      </c>
      <c r="C50">
        <v>1.79</v>
      </c>
    </row>
    <row r="51" spans="1:3" x14ac:dyDescent="0.25">
      <c r="A51" s="1">
        <v>45390.842361111114</v>
      </c>
      <c r="B51">
        <v>1.89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C7F5-A12D-4A77-A808-5B6632F765EF}">
  <dimension ref="A1:K38"/>
  <sheetViews>
    <sheetView workbookViewId="0">
      <selection sqref="A1:E1"/>
    </sheetView>
  </sheetViews>
  <sheetFormatPr defaultRowHeight="15" x14ac:dyDescent="0.25"/>
  <cols>
    <col min="1" max="1" width="35.140625" bestFit="1" customWidth="1"/>
    <col min="7" max="7" width="12" bestFit="1" customWidth="1"/>
    <col min="8" max="8" width="9.140625" style="2"/>
    <col min="9" max="9" width="11.5703125" customWidth="1"/>
    <col min="10" max="10" width="9.5703125" customWidth="1"/>
    <col min="11" max="11" width="12.5703125" style="3" customWidth="1"/>
  </cols>
  <sheetData>
    <row r="1" spans="1:11" x14ac:dyDescent="0.25">
      <c r="A1" s="17" t="s">
        <v>52</v>
      </c>
      <c r="B1" s="17"/>
      <c r="C1" s="17"/>
      <c r="D1" s="17"/>
      <c r="E1" s="17"/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s="2" t="s">
        <v>10</v>
      </c>
      <c r="I2" t="s">
        <v>11</v>
      </c>
      <c r="J2" t="s">
        <v>12</v>
      </c>
      <c r="K2" s="3" t="s">
        <v>13</v>
      </c>
    </row>
    <row r="3" spans="1:11" x14ac:dyDescent="0.25">
      <c r="H3" s="4"/>
    </row>
    <row r="4" spans="1:11" x14ac:dyDescent="0.25">
      <c r="A4" s="5" t="s">
        <v>14</v>
      </c>
      <c r="B4">
        <v>21.76</v>
      </c>
      <c r="C4">
        <v>0.31296166800000003</v>
      </c>
      <c r="D4">
        <v>1586.532453</v>
      </c>
      <c r="E4">
        <v>0.31466134499999998</v>
      </c>
      <c r="F4">
        <v>648.59461529999999</v>
      </c>
      <c r="G4">
        <v>1.6996769999999999E-3</v>
      </c>
      <c r="H4" s="4" t="str">
        <f t="shared" ref="H4:H38" si="0">MID(A4,8,4)</f>
        <v>1407</v>
      </c>
      <c r="I4" s="6">
        <f>ROUNDDOWN(H4, -2) / 2400 + MOD(H4, 100) / 1440</f>
        <v>0.58819444444444446</v>
      </c>
      <c r="J4" s="7">
        <f t="shared" ref="J4:J38" si="1">G4*1000</f>
        <v>1.6996769999999999</v>
      </c>
      <c r="K4" s="3">
        <f>J4*150</f>
        <v>254.95154999999997</v>
      </c>
    </row>
    <row r="5" spans="1:11" x14ac:dyDescent="0.25">
      <c r="A5" s="5" t="s">
        <v>15</v>
      </c>
      <c r="B5">
        <v>26.777999999999999</v>
      </c>
      <c r="C5">
        <v>0.31295972</v>
      </c>
      <c r="D5">
        <v>1674.8981000000001</v>
      </c>
      <c r="E5">
        <v>0.31468772499999997</v>
      </c>
      <c r="F5">
        <v>548.31606360000001</v>
      </c>
      <c r="G5">
        <v>1.7280049999999999E-3</v>
      </c>
      <c r="H5" s="4" t="str">
        <f t="shared" si="0"/>
        <v>1413</v>
      </c>
      <c r="I5" s="6">
        <f t="shared" ref="I5:I38" si="2">ROUNDDOWN(H5, -2) / 2400 + MOD(H5, 100) / 1440</f>
        <v>0.59236111111111112</v>
      </c>
      <c r="J5" s="7">
        <f t="shared" si="1"/>
        <v>1.728005</v>
      </c>
      <c r="K5" s="3">
        <f t="shared" ref="K5:K38" si="3">J5*150</f>
        <v>259.20075000000003</v>
      </c>
    </row>
    <row r="6" spans="1:11" x14ac:dyDescent="0.25">
      <c r="A6" s="5" t="s">
        <v>16</v>
      </c>
      <c r="B6">
        <v>25.292999999999999</v>
      </c>
      <c r="C6">
        <v>0.31296166800000003</v>
      </c>
      <c r="D6">
        <v>1626.877563</v>
      </c>
      <c r="E6">
        <v>0.314699116</v>
      </c>
      <c r="F6">
        <v>640.30152650000002</v>
      </c>
      <c r="G6">
        <v>1.7374479999999999E-3</v>
      </c>
      <c r="H6" s="4" t="str">
        <f t="shared" si="0"/>
        <v>1423</v>
      </c>
      <c r="I6" s="6">
        <f t="shared" si="2"/>
        <v>0.59930555555555554</v>
      </c>
      <c r="J6" s="7">
        <f t="shared" si="1"/>
        <v>1.7374479999999999</v>
      </c>
      <c r="K6" s="3">
        <f t="shared" si="3"/>
        <v>260.61719999999997</v>
      </c>
    </row>
    <row r="7" spans="1:11" x14ac:dyDescent="0.25">
      <c r="A7" s="5" t="s">
        <v>17</v>
      </c>
      <c r="B7">
        <v>19.582999999999998</v>
      </c>
      <c r="C7">
        <v>0.31296166800000003</v>
      </c>
      <c r="D7">
        <v>1855.070199</v>
      </c>
      <c r="E7">
        <v>0.31476521499999999</v>
      </c>
      <c r="F7">
        <v>691.6572893</v>
      </c>
      <c r="G7">
        <v>1.803547E-3</v>
      </c>
      <c r="H7" s="4" t="str">
        <f t="shared" si="0"/>
        <v>1433</v>
      </c>
      <c r="I7" s="6">
        <f t="shared" si="2"/>
        <v>0.60625000000000007</v>
      </c>
      <c r="J7" s="7">
        <f t="shared" si="1"/>
        <v>1.803547</v>
      </c>
      <c r="K7" s="3">
        <f t="shared" si="3"/>
        <v>270.53205000000003</v>
      </c>
    </row>
    <row r="8" spans="1:11" x14ac:dyDescent="0.25">
      <c r="A8" s="5" t="s">
        <v>18</v>
      </c>
      <c r="B8">
        <v>26.696000000000002</v>
      </c>
      <c r="C8">
        <v>0.31296166800000003</v>
      </c>
      <c r="D8">
        <v>1450.970237</v>
      </c>
      <c r="E8">
        <v>0.31474632899999999</v>
      </c>
      <c r="F8">
        <v>337.12268710000001</v>
      </c>
      <c r="G8">
        <v>1.7846610000000001E-3</v>
      </c>
      <c r="H8" s="4" t="str">
        <f t="shared" si="0"/>
        <v>1443</v>
      </c>
      <c r="I8" s="6">
        <f t="shared" si="2"/>
        <v>0.61319444444444449</v>
      </c>
      <c r="J8" s="7">
        <f t="shared" si="1"/>
        <v>1.7846610000000001</v>
      </c>
      <c r="K8" s="3">
        <f t="shared" si="3"/>
        <v>267.69915000000003</v>
      </c>
    </row>
    <row r="9" spans="1:11" x14ac:dyDescent="0.25">
      <c r="A9" s="5" t="s">
        <v>19</v>
      </c>
      <c r="B9">
        <v>26.702999999999999</v>
      </c>
      <c r="C9">
        <v>0.31297111100000002</v>
      </c>
      <c r="D9">
        <v>1772.3582739999999</v>
      </c>
      <c r="E9">
        <v>0.314840756</v>
      </c>
      <c r="F9">
        <v>717.91078789999995</v>
      </c>
      <c r="G9">
        <v>1.8696450000000001E-3</v>
      </c>
      <c r="H9" s="4" t="str">
        <f t="shared" si="0"/>
        <v>1453</v>
      </c>
      <c r="I9" s="6">
        <f t="shared" si="2"/>
        <v>0.62013888888888891</v>
      </c>
      <c r="J9" s="7">
        <f t="shared" si="1"/>
        <v>1.869645</v>
      </c>
      <c r="K9" s="3">
        <f t="shared" si="3"/>
        <v>280.44675000000001</v>
      </c>
    </row>
    <row r="10" spans="1:11" x14ac:dyDescent="0.25">
      <c r="A10" s="5" t="s">
        <v>20</v>
      </c>
      <c r="B10">
        <v>25.207999999999998</v>
      </c>
      <c r="C10">
        <v>0.31294083499999997</v>
      </c>
      <c r="D10">
        <v>1712.00009</v>
      </c>
      <c r="E10">
        <v>0.314716053</v>
      </c>
      <c r="F10">
        <v>652.63888029999998</v>
      </c>
      <c r="G10">
        <v>1.775219E-3</v>
      </c>
      <c r="H10" s="4" t="str">
        <f t="shared" si="0"/>
        <v>1454</v>
      </c>
      <c r="I10" s="6">
        <f t="shared" si="2"/>
        <v>0.62083333333333335</v>
      </c>
      <c r="J10" s="7">
        <f t="shared" si="1"/>
        <v>1.7752189999999999</v>
      </c>
      <c r="K10" s="3">
        <f t="shared" si="3"/>
        <v>266.28285</v>
      </c>
    </row>
    <row r="11" spans="1:11" x14ac:dyDescent="0.25">
      <c r="A11" s="5" t="s">
        <v>21</v>
      </c>
      <c r="B11">
        <v>22.712</v>
      </c>
      <c r="C11">
        <v>0.31297111100000002</v>
      </c>
      <c r="D11">
        <v>1736.517384</v>
      </c>
      <c r="E11">
        <v>0.31485019800000003</v>
      </c>
      <c r="F11">
        <v>465.63428340000002</v>
      </c>
      <c r="G11">
        <v>1.8790879999999999E-3</v>
      </c>
      <c r="H11" s="4" t="str">
        <f t="shared" si="0"/>
        <v>1503</v>
      </c>
      <c r="I11" s="6">
        <f t="shared" si="2"/>
        <v>0.62708333333333333</v>
      </c>
      <c r="J11" s="7">
        <f t="shared" si="1"/>
        <v>1.8790879999999999</v>
      </c>
      <c r="K11" s="3">
        <f t="shared" si="3"/>
        <v>281.86320000000001</v>
      </c>
    </row>
    <row r="12" spans="1:11" x14ac:dyDescent="0.25">
      <c r="A12" s="5" t="s">
        <v>22</v>
      </c>
      <c r="B12">
        <v>21.308</v>
      </c>
      <c r="C12">
        <v>0.31295972</v>
      </c>
      <c r="D12">
        <v>1514.8875700000001</v>
      </c>
      <c r="E12">
        <v>0.31480103700000001</v>
      </c>
      <c r="F12">
        <v>694.4980425</v>
      </c>
      <c r="G12">
        <v>1.8413170000000001E-3</v>
      </c>
      <c r="H12" s="4" t="str">
        <f t="shared" si="0"/>
        <v>1513</v>
      </c>
      <c r="I12" s="6">
        <f t="shared" si="2"/>
        <v>0.63402777777777775</v>
      </c>
      <c r="J12" s="7">
        <f t="shared" si="1"/>
        <v>1.8413170000000001</v>
      </c>
      <c r="K12" s="3">
        <f t="shared" si="3"/>
        <v>276.19755000000004</v>
      </c>
    </row>
    <row r="13" spans="1:11" x14ac:dyDescent="0.25">
      <c r="A13" s="5" t="s">
        <v>23</v>
      </c>
      <c r="B13">
        <v>21.965</v>
      </c>
      <c r="C13">
        <v>0.31296166800000003</v>
      </c>
      <c r="D13">
        <v>1631.7806210000001</v>
      </c>
      <c r="E13">
        <v>0.31485964100000002</v>
      </c>
      <c r="F13">
        <v>726.85902869999995</v>
      </c>
      <c r="G13">
        <v>1.8979730000000001E-3</v>
      </c>
      <c r="H13" s="4" t="str">
        <f t="shared" si="0"/>
        <v>1523</v>
      </c>
      <c r="I13" s="6">
        <f t="shared" si="2"/>
        <v>0.64097222222222228</v>
      </c>
      <c r="J13" s="7">
        <f t="shared" si="1"/>
        <v>1.8979730000000001</v>
      </c>
      <c r="K13" s="3">
        <f t="shared" si="3"/>
        <v>284.69595000000004</v>
      </c>
    </row>
    <row r="14" spans="1:11" x14ac:dyDescent="0.25">
      <c r="A14" s="5" t="s">
        <v>24</v>
      </c>
      <c r="B14">
        <v>25.341999999999999</v>
      </c>
      <c r="C14">
        <v>0.31297111100000002</v>
      </c>
      <c r="D14">
        <v>1702.169658</v>
      </c>
      <c r="E14">
        <v>0.314972953</v>
      </c>
      <c r="F14">
        <v>678.80161050000004</v>
      </c>
      <c r="G14">
        <v>2.0018420000000002E-3</v>
      </c>
      <c r="H14" s="4" t="str">
        <f t="shared" si="0"/>
        <v>1533</v>
      </c>
      <c r="I14" s="6">
        <f t="shared" si="2"/>
        <v>0.6479166666666667</v>
      </c>
      <c r="J14" s="7">
        <f t="shared" si="1"/>
        <v>2.0018420000000003</v>
      </c>
      <c r="K14" s="3">
        <f t="shared" si="3"/>
        <v>300.27630000000005</v>
      </c>
    </row>
    <row r="15" spans="1:11" x14ac:dyDescent="0.25">
      <c r="A15" s="5" t="s">
        <v>25</v>
      </c>
      <c r="B15">
        <v>22.050999999999998</v>
      </c>
      <c r="C15">
        <v>0.312950277</v>
      </c>
      <c r="D15">
        <v>2113.6647950000001</v>
      </c>
      <c r="E15">
        <v>0.31475382400000002</v>
      </c>
      <c r="F15">
        <v>349.52235059999998</v>
      </c>
      <c r="G15">
        <v>1.803547E-3</v>
      </c>
      <c r="H15" s="4" t="str">
        <f t="shared" si="0"/>
        <v>1543</v>
      </c>
      <c r="I15" s="6">
        <f t="shared" si="2"/>
        <v>0.65486111111111112</v>
      </c>
      <c r="J15" s="7">
        <f t="shared" si="1"/>
        <v>1.803547</v>
      </c>
      <c r="K15" s="3">
        <f t="shared" si="3"/>
        <v>270.53205000000003</v>
      </c>
    </row>
    <row r="16" spans="1:11" x14ac:dyDescent="0.25">
      <c r="A16" s="8" t="s">
        <v>26</v>
      </c>
      <c r="B16">
        <v>21.248000000000001</v>
      </c>
      <c r="C16">
        <v>0.31298999599999999</v>
      </c>
      <c r="D16">
        <v>1740.0671339999999</v>
      </c>
      <c r="E16">
        <v>0.31502960899999999</v>
      </c>
      <c r="F16">
        <v>700.68649930000004</v>
      </c>
      <c r="G16">
        <v>2.039613E-3</v>
      </c>
      <c r="H16" s="4" t="str">
        <f t="shared" si="0"/>
        <v>1554</v>
      </c>
      <c r="I16" s="6">
        <f t="shared" si="2"/>
        <v>0.66249999999999998</v>
      </c>
      <c r="J16" s="7">
        <f t="shared" si="1"/>
        <v>2.0396130000000001</v>
      </c>
      <c r="K16" s="3">
        <f t="shared" si="3"/>
        <v>305.94195000000002</v>
      </c>
    </row>
    <row r="17" spans="1:11" x14ac:dyDescent="0.25">
      <c r="A17" s="8" t="s">
        <v>27</v>
      </c>
      <c r="B17">
        <v>23.704999999999998</v>
      </c>
      <c r="C17">
        <v>0.312950277</v>
      </c>
      <c r="D17">
        <v>1764.7230400000001</v>
      </c>
      <c r="E17">
        <v>0.31498044800000002</v>
      </c>
      <c r="F17">
        <v>648.27629379999996</v>
      </c>
      <c r="G17">
        <v>2.03017E-3</v>
      </c>
      <c r="H17" s="4" t="str">
        <f t="shared" si="0"/>
        <v>1613</v>
      </c>
      <c r="I17" s="6">
        <f t="shared" si="2"/>
        <v>0.67569444444444438</v>
      </c>
      <c r="J17" s="7">
        <f t="shared" si="1"/>
        <v>2.03017</v>
      </c>
      <c r="K17" s="3">
        <f t="shared" si="3"/>
        <v>304.52550000000002</v>
      </c>
    </row>
    <row r="18" spans="1:11" x14ac:dyDescent="0.25">
      <c r="A18" s="5" t="s">
        <v>28</v>
      </c>
      <c r="B18">
        <v>20.474</v>
      </c>
      <c r="C18">
        <v>0.31298055299999999</v>
      </c>
      <c r="D18">
        <v>1583.9256600000001</v>
      </c>
      <c r="E18">
        <v>0.31492574000000001</v>
      </c>
      <c r="F18">
        <v>629.32778450000001</v>
      </c>
      <c r="G18">
        <v>1.945186E-3</v>
      </c>
      <c r="H18" s="4" t="str">
        <f t="shared" si="0"/>
        <v>1623</v>
      </c>
      <c r="I18" s="6">
        <f t="shared" si="2"/>
        <v>0.6826388888888888</v>
      </c>
      <c r="J18" s="7">
        <f t="shared" si="1"/>
        <v>1.9451860000000001</v>
      </c>
      <c r="K18" s="3">
        <f t="shared" si="3"/>
        <v>291.77789999999999</v>
      </c>
    </row>
    <row r="19" spans="1:11" x14ac:dyDescent="0.25">
      <c r="A19" s="5" t="s">
        <v>29</v>
      </c>
      <c r="B19">
        <v>21.972999999999999</v>
      </c>
      <c r="C19">
        <v>0.31298055299999999</v>
      </c>
      <c r="D19">
        <v>1530.8748780000001</v>
      </c>
      <c r="E19">
        <v>0.31499183800000002</v>
      </c>
      <c r="F19">
        <v>636.99784980000004</v>
      </c>
      <c r="G19">
        <v>2.0112849999999998E-3</v>
      </c>
      <c r="H19" s="4" t="str">
        <f t="shared" si="0"/>
        <v>1633</v>
      </c>
      <c r="I19" s="6">
        <f t="shared" si="2"/>
        <v>0.68958333333333333</v>
      </c>
      <c r="J19" s="7">
        <f t="shared" si="1"/>
        <v>2.011285</v>
      </c>
      <c r="K19" s="3">
        <f t="shared" si="3"/>
        <v>301.69274999999999</v>
      </c>
    </row>
    <row r="20" spans="1:11" x14ac:dyDescent="0.25">
      <c r="A20" s="5" t="s">
        <v>30</v>
      </c>
      <c r="B20">
        <v>21.398</v>
      </c>
      <c r="C20">
        <v>0.312950277</v>
      </c>
      <c r="D20">
        <v>1735.137853</v>
      </c>
      <c r="E20">
        <v>0.31487657800000002</v>
      </c>
      <c r="F20">
        <v>601.25391850000005</v>
      </c>
      <c r="G20">
        <v>1.9263010000000001E-3</v>
      </c>
      <c r="H20" s="4" t="str">
        <f t="shared" si="0"/>
        <v>1644</v>
      </c>
      <c r="I20" s="6">
        <f t="shared" si="2"/>
        <v>0.69722222222222219</v>
      </c>
      <c r="J20" s="7">
        <f t="shared" si="1"/>
        <v>1.926301</v>
      </c>
      <c r="K20" s="3">
        <f t="shared" si="3"/>
        <v>288.94515000000001</v>
      </c>
    </row>
    <row r="21" spans="1:11" x14ac:dyDescent="0.25">
      <c r="A21" s="5" t="s">
        <v>31</v>
      </c>
      <c r="B21">
        <v>22.771999999999998</v>
      </c>
      <c r="C21">
        <v>0.31294083499999997</v>
      </c>
      <c r="D21">
        <v>1757.0422960000001</v>
      </c>
      <c r="E21">
        <v>0.31481992199999997</v>
      </c>
      <c r="F21">
        <v>567.63695940000002</v>
      </c>
      <c r="G21">
        <v>1.8790879999999999E-3</v>
      </c>
      <c r="H21" s="4" t="str">
        <f t="shared" si="0"/>
        <v>1653</v>
      </c>
      <c r="I21" s="6">
        <f t="shared" si="2"/>
        <v>0.70347222222222217</v>
      </c>
      <c r="J21" s="7">
        <f t="shared" si="1"/>
        <v>1.8790879999999999</v>
      </c>
      <c r="K21" s="3">
        <f t="shared" si="3"/>
        <v>281.86320000000001</v>
      </c>
    </row>
    <row r="22" spans="1:11" x14ac:dyDescent="0.25">
      <c r="A22" s="5" t="s">
        <v>32</v>
      </c>
      <c r="B22">
        <v>23.809000000000001</v>
      </c>
      <c r="C22">
        <v>0.31297111100000002</v>
      </c>
      <c r="D22">
        <v>1991.3502040000001</v>
      </c>
      <c r="E22">
        <v>0.31489741199999999</v>
      </c>
      <c r="F22">
        <v>579.80334330000005</v>
      </c>
      <c r="G22">
        <v>1.9263010000000001E-3</v>
      </c>
      <c r="H22" s="4" t="str">
        <f t="shared" si="0"/>
        <v>1703</v>
      </c>
      <c r="I22" s="6">
        <f t="shared" si="2"/>
        <v>0.7104166666666667</v>
      </c>
      <c r="J22" s="7">
        <f t="shared" si="1"/>
        <v>1.926301</v>
      </c>
      <c r="K22" s="3">
        <f t="shared" si="3"/>
        <v>288.94515000000001</v>
      </c>
    </row>
    <row r="23" spans="1:11" x14ac:dyDescent="0.25">
      <c r="A23" s="5" t="s">
        <v>33</v>
      </c>
      <c r="B23">
        <v>19.638000000000002</v>
      </c>
      <c r="C23">
        <v>0.31297111100000002</v>
      </c>
      <c r="D23">
        <v>2329.6024900000002</v>
      </c>
      <c r="E23">
        <v>0.31481242799999998</v>
      </c>
      <c r="F23">
        <v>383.78369900000001</v>
      </c>
      <c r="G23">
        <v>1.8413170000000001E-3</v>
      </c>
      <c r="H23" s="4" t="str">
        <f t="shared" si="0"/>
        <v>1713</v>
      </c>
      <c r="I23" s="6">
        <f t="shared" si="2"/>
        <v>0.71736111111111112</v>
      </c>
      <c r="J23" s="7">
        <f t="shared" si="1"/>
        <v>1.8413170000000001</v>
      </c>
      <c r="K23" s="3">
        <f t="shared" si="3"/>
        <v>276.19755000000004</v>
      </c>
    </row>
    <row r="24" spans="1:11" x14ac:dyDescent="0.25">
      <c r="A24" s="5" t="s">
        <v>34</v>
      </c>
      <c r="B24">
        <v>21.071999999999999</v>
      </c>
      <c r="C24">
        <v>0.312950277</v>
      </c>
      <c r="D24">
        <v>1589.4204099999999</v>
      </c>
      <c r="E24">
        <v>0.31481048</v>
      </c>
      <c r="F24">
        <v>692.21699039999999</v>
      </c>
      <c r="G24">
        <v>1.8602029999999999E-3</v>
      </c>
      <c r="H24" s="4" t="str">
        <f t="shared" si="0"/>
        <v>1723</v>
      </c>
      <c r="I24" s="6">
        <f t="shared" si="2"/>
        <v>0.72430555555555554</v>
      </c>
      <c r="J24" s="7">
        <f t="shared" si="1"/>
        <v>1.8602030000000001</v>
      </c>
      <c r="K24" s="3">
        <f t="shared" si="3"/>
        <v>279.03045000000003</v>
      </c>
    </row>
    <row r="25" spans="1:11" x14ac:dyDescent="0.25">
      <c r="A25" s="8" t="s">
        <v>35</v>
      </c>
      <c r="B25">
        <v>26.728999999999999</v>
      </c>
      <c r="C25">
        <v>0.31297111100000002</v>
      </c>
      <c r="D25">
        <v>1543.9925820000001</v>
      </c>
      <c r="E25">
        <v>0.31494462499999998</v>
      </c>
      <c r="F25">
        <v>588.91099880000002</v>
      </c>
      <c r="G25">
        <v>1.973514E-3</v>
      </c>
      <c r="H25" s="4" t="str">
        <f t="shared" si="0"/>
        <v>1733</v>
      </c>
      <c r="I25" s="6">
        <f t="shared" si="2"/>
        <v>0.73125000000000007</v>
      </c>
      <c r="J25" s="7">
        <f t="shared" si="1"/>
        <v>1.973514</v>
      </c>
      <c r="K25" s="3">
        <f t="shared" si="3"/>
        <v>296.02710000000002</v>
      </c>
    </row>
    <row r="26" spans="1:11" x14ac:dyDescent="0.25">
      <c r="A26" s="8" t="s">
        <v>36</v>
      </c>
      <c r="B26">
        <v>24.945</v>
      </c>
      <c r="C26">
        <v>0.31296166800000003</v>
      </c>
      <c r="D26">
        <v>1471.591261</v>
      </c>
      <c r="E26">
        <v>0.31503905199999999</v>
      </c>
      <c r="F26">
        <v>532.39117680000004</v>
      </c>
      <c r="G26">
        <v>2.0773839999999998E-3</v>
      </c>
      <c r="H26" s="4" t="str">
        <f t="shared" si="0"/>
        <v>1753</v>
      </c>
      <c r="I26" s="6">
        <f t="shared" si="2"/>
        <v>0.74513888888888891</v>
      </c>
      <c r="J26" s="7">
        <f t="shared" si="1"/>
        <v>2.0773839999999999</v>
      </c>
      <c r="K26" s="3">
        <f t="shared" si="3"/>
        <v>311.60759999999999</v>
      </c>
    </row>
    <row r="27" spans="1:11" x14ac:dyDescent="0.25">
      <c r="A27" s="5" t="s">
        <v>37</v>
      </c>
      <c r="B27">
        <v>19.631</v>
      </c>
      <c r="C27">
        <v>0.31298055331541202</v>
      </c>
      <c r="D27">
        <v>1930.40287344796</v>
      </c>
      <c r="E27">
        <v>0.31474632930107499</v>
      </c>
      <c r="F27">
        <v>612.01649693080299</v>
      </c>
      <c r="G27">
        <v>1.7657759856630701E-3</v>
      </c>
      <c r="H27" s="4" t="str">
        <f t="shared" si="0"/>
        <v>1803</v>
      </c>
      <c r="I27" s="6">
        <f t="shared" si="2"/>
        <v>0.75208333333333333</v>
      </c>
      <c r="J27" s="7">
        <f t="shared" si="1"/>
        <v>1.7657759856630701</v>
      </c>
      <c r="K27" s="3">
        <f t="shared" si="3"/>
        <v>264.8663978494605</v>
      </c>
    </row>
    <row r="28" spans="1:11" x14ac:dyDescent="0.25">
      <c r="A28" s="5" t="s">
        <v>38</v>
      </c>
      <c r="B28">
        <v>21.398</v>
      </c>
      <c r="C28">
        <v>0.312959719982078</v>
      </c>
      <c r="D28">
        <v>1457.76000976562</v>
      </c>
      <c r="E28">
        <v>0.31481047983870902</v>
      </c>
      <c r="F28">
        <v>658.25065002441397</v>
      </c>
      <c r="G28">
        <v>1.8507598566307999E-3</v>
      </c>
      <c r="H28" s="4" t="str">
        <f t="shared" si="0"/>
        <v>1813</v>
      </c>
      <c r="I28" s="6">
        <f t="shared" si="2"/>
        <v>0.75902777777777775</v>
      </c>
      <c r="J28" s="7">
        <f t="shared" si="1"/>
        <v>1.8507598566307999</v>
      </c>
      <c r="K28" s="3">
        <f t="shared" si="3"/>
        <v>277.61397849461997</v>
      </c>
    </row>
    <row r="29" spans="1:11" x14ac:dyDescent="0.25">
      <c r="A29" s="5" t="s">
        <v>39</v>
      </c>
      <c r="B29">
        <v>24.736999999999998</v>
      </c>
      <c r="C29">
        <v>0.31294083467741901</v>
      </c>
      <c r="D29">
        <v>1525.64412493024</v>
      </c>
      <c r="E29">
        <v>0.31471605331541203</v>
      </c>
      <c r="F29">
        <v>663.93077479771205</v>
      </c>
      <c r="G29">
        <v>1.77521863799279E-3</v>
      </c>
      <c r="H29" s="4" t="str">
        <f t="shared" si="0"/>
        <v>1823</v>
      </c>
      <c r="I29" s="6">
        <f t="shared" si="2"/>
        <v>0.76597222222222228</v>
      </c>
      <c r="J29" s="7">
        <f t="shared" si="1"/>
        <v>1.7752186379927899</v>
      </c>
      <c r="K29" s="3">
        <f t="shared" si="3"/>
        <v>266.28279569891851</v>
      </c>
    </row>
    <row r="30" spans="1:11" x14ac:dyDescent="0.25">
      <c r="A30" s="5" t="s">
        <v>40</v>
      </c>
      <c r="B30">
        <v>23.773</v>
      </c>
      <c r="C30">
        <v>0.31294278270609299</v>
      </c>
      <c r="D30">
        <v>1450.11083984375</v>
      </c>
      <c r="E30">
        <v>0.31465190277777699</v>
      </c>
      <c r="F30">
        <v>529.96050223214297</v>
      </c>
      <c r="G30">
        <v>1.70912007168461E-3</v>
      </c>
      <c r="H30" s="4" t="str">
        <f t="shared" si="0"/>
        <v>1833</v>
      </c>
      <c r="I30" s="6">
        <f t="shared" si="2"/>
        <v>0.7729166666666667</v>
      </c>
      <c r="J30" s="7">
        <f t="shared" si="1"/>
        <v>1.70912007168461</v>
      </c>
      <c r="K30" s="3">
        <f t="shared" si="3"/>
        <v>256.36801075269148</v>
      </c>
    </row>
    <row r="31" spans="1:11" x14ac:dyDescent="0.25">
      <c r="A31" s="8" t="s">
        <v>41</v>
      </c>
      <c r="B31">
        <v>20.853000000000002</v>
      </c>
      <c r="C31">
        <v>0.31295222535842299</v>
      </c>
      <c r="D31">
        <v>1483.9889111764001</v>
      </c>
      <c r="E31">
        <v>0.31485019847670198</v>
      </c>
      <c r="F31">
        <v>625.04946585518906</v>
      </c>
      <c r="G31">
        <v>1.8979731182795501E-3</v>
      </c>
      <c r="H31" s="4" t="str">
        <f t="shared" si="0"/>
        <v>1843</v>
      </c>
      <c r="I31" s="6">
        <f t="shared" si="2"/>
        <v>0.77986111111111112</v>
      </c>
      <c r="J31" s="7">
        <f t="shared" si="1"/>
        <v>1.8979731182795501</v>
      </c>
      <c r="K31" s="3">
        <f t="shared" si="3"/>
        <v>284.69596774193252</v>
      </c>
    </row>
    <row r="32" spans="1:11" x14ac:dyDescent="0.25">
      <c r="A32" s="8" t="s">
        <v>42</v>
      </c>
      <c r="B32">
        <v>25.501999999999999</v>
      </c>
      <c r="C32">
        <v>0.31298055331541202</v>
      </c>
      <c r="D32">
        <v>1317.5273675537101</v>
      </c>
      <c r="E32">
        <v>0.31479354256272402</v>
      </c>
      <c r="F32">
        <v>493.85204711914002</v>
      </c>
      <c r="G32">
        <v>1.81298924731182E-3</v>
      </c>
      <c r="H32" s="4" t="str">
        <f t="shared" si="0"/>
        <v>1853</v>
      </c>
      <c r="I32" s="6">
        <f t="shared" si="2"/>
        <v>0.78680555555555554</v>
      </c>
      <c r="J32" s="7">
        <f t="shared" si="1"/>
        <v>1.8129892473118201</v>
      </c>
      <c r="K32" s="3">
        <f t="shared" si="3"/>
        <v>271.94838709677299</v>
      </c>
    </row>
    <row r="33" spans="1:11" x14ac:dyDescent="0.25">
      <c r="A33" t="s">
        <v>43</v>
      </c>
      <c r="B33">
        <v>20.452999999999999</v>
      </c>
      <c r="C33">
        <v>0.312959719982078</v>
      </c>
      <c r="D33">
        <v>1560.4115463256801</v>
      </c>
      <c r="E33">
        <v>0.314848250448028</v>
      </c>
      <c r="F33">
        <v>643.23026428222602</v>
      </c>
      <c r="G33">
        <v>1.88853046594983E-3</v>
      </c>
      <c r="H33" s="4" t="str">
        <f t="shared" si="0"/>
        <v>1903</v>
      </c>
      <c r="I33" s="6">
        <f t="shared" si="2"/>
        <v>0.79374999999999996</v>
      </c>
      <c r="J33" s="7">
        <f t="shared" si="1"/>
        <v>1.8885304659498299</v>
      </c>
      <c r="K33" s="3">
        <f t="shared" si="3"/>
        <v>283.27956989247446</v>
      </c>
    </row>
    <row r="34" spans="1:11" x14ac:dyDescent="0.25">
      <c r="A34" t="s">
        <v>44</v>
      </c>
      <c r="B34">
        <v>23.259</v>
      </c>
      <c r="C34">
        <v>0.31298055331541202</v>
      </c>
      <c r="D34">
        <v>1305.1236596679601</v>
      </c>
      <c r="E34">
        <v>0.31486908378136202</v>
      </c>
      <c r="F34">
        <v>569.14100219726504</v>
      </c>
      <c r="G34">
        <v>1.88853046594983E-3</v>
      </c>
      <c r="H34" s="4" t="str">
        <f t="shared" si="0"/>
        <v>1913</v>
      </c>
      <c r="I34" s="6">
        <f t="shared" si="2"/>
        <v>0.80069444444444438</v>
      </c>
      <c r="J34" s="7">
        <f t="shared" si="1"/>
        <v>1.8885304659498299</v>
      </c>
      <c r="K34" s="3">
        <f t="shared" si="3"/>
        <v>283.27956989247446</v>
      </c>
    </row>
    <row r="35" spans="1:11" x14ac:dyDescent="0.25">
      <c r="A35" t="s">
        <v>45</v>
      </c>
      <c r="B35">
        <v>26.042000000000002</v>
      </c>
      <c r="C35">
        <v>0.31298055331541202</v>
      </c>
      <c r="D35">
        <v>1941.66304713657</v>
      </c>
      <c r="E35">
        <v>0.31502016621863799</v>
      </c>
      <c r="F35">
        <v>513.03606044224296</v>
      </c>
      <c r="G35">
        <v>2.0396129032257898E-3</v>
      </c>
      <c r="H35" s="4" t="str">
        <f t="shared" si="0"/>
        <v>1926</v>
      </c>
      <c r="I35" s="6">
        <f t="shared" si="2"/>
        <v>0.80972222222222223</v>
      </c>
      <c r="J35" s="7">
        <f t="shared" si="1"/>
        <v>2.0396129032257897</v>
      </c>
      <c r="K35" s="3">
        <f t="shared" si="3"/>
        <v>305.94193548386846</v>
      </c>
    </row>
    <row r="36" spans="1:11" x14ac:dyDescent="0.25">
      <c r="A36" t="s">
        <v>46</v>
      </c>
      <c r="B36">
        <v>23.89</v>
      </c>
      <c r="C36">
        <v>0.31296166801075198</v>
      </c>
      <c r="D36">
        <v>1662.9881166294599</v>
      </c>
      <c r="E36">
        <v>0.31487852643369102</v>
      </c>
      <c r="F36">
        <v>448.57276192801299</v>
      </c>
      <c r="G36">
        <v>1.91685842293903E-3</v>
      </c>
      <c r="H36" s="4" t="str">
        <f t="shared" si="0"/>
        <v>1935</v>
      </c>
      <c r="I36" s="6">
        <f t="shared" si="2"/>
        <v>0.81597222222222221</v>
      </c>
      <c r="J36" s="7">
        <f t="shared" si="1"/>
        <v>1.91685842293903</v>
      </c>
      <c r="K36" s="3">
        <f t="shared" si="3"/>
        <v>287.5287634408545</v>
      </c>
    </row>
    <row r="37" spans="1:11" x14ac:dyDescent="0.25">
      <c r="A37" t="s">
        <v>47</v>
      </c>
      <c r="B37">
        <v>21.968</v>
      </c>
      <c r="C37">
        <v>0.31296166801075198</v>
      </c>
      <c r="D37">
        <v>1721.0238673182801</v>
      </c>
      <c r="E37">
        <v>0.314906854390681</v>
      </c>
      <c r="F37">
        <v>702.40350032261404</v>
      </c>
      <c r="G37">
        <v>1.94518637992829E-3</v>
      </c>
      <c r="H37" s="4" t="str">
        <f t="shared" si="0"/>
        <v>1953</v>
      </c>
      <c r="I37" s="6">
        <f t="shared" si="2"/>
        <v>0.82847222222222217</v>
      </c>
      <c r="J37" s="7">
        <f t="shared" si="1"/>
        <v>1.94518637992829</v>
      </c>
      <c r="K37" s="3">
        <f t="shared" si="3"/>
        <v>291.77795698924348</v>
      </c>
    </row>
    <row r="38" spans="1:11" x14ac:dyDescent="0.25">
      <c r="A38" t="s">
        <v>48</v>
      </c>
      <c r="B38">
        <v>24.545999999999999</v>
      </c>
      <c r="C38">
        <v>0.31298055331541202</v>
      </c>
      <c r="D38">
        <v>1677.9269498116601</v>
      </c>
      <c r="E38">
        <v>0.31476521460573398</v>
      </c>
      <c r="F38">
        <v>666.65242728097098</v>
      </c>
      <c r="G38">
        <v>1.7846612903225599E-3</v>
      </c>
      <c r="H38" s="4" t="str">
        <f t="shared" si="0"/>
        <v>2013</v>
      </c>
      <c r="I38" s="6">
        <f t="shared" si="2"/>
        <v>0.84236111111111112</v>
      </c>
      <c r="J38" s="7">
        <f t="shared" si="1"/>
        <v>1.7846612903225598</v>
      </c>
      <c r="K38" s="3">
        <f t="shared" si="3"/>
        <v>267.69919354838396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Verified</vt:lpstr>
      <vt:lpstr>From Nathaniel</vt:lpstr>
      <vt:lpstr>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McMahan</cp:lastModifiedBy>
  <dcterms:created xsi:type="dcterms:W3CDTF">2025-12-27T16:50:03Z</dcterms:created>
  <dcterms:modified xsi:type="dcterms:W3CDTF">2025-12-28T15:38:25Z</dcterms:modified>
</cp:coreProperties>
</file>