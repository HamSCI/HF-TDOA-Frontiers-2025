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evecerwin/Desktop/2024 Eclipse Results/"/>
    </mc:Choice>
  </mc:AlternateContent>
  <xr:revisionPtr revIDLastSave="0" documentId="13_ncr:1_{83496C1D-4481-5B4E-B4F8-941B05493736}" xr6:coauthVersionLast="47" xr6:coauthVersionMax="47" xr10:uidLastSave="{00000000-0000-0000-0000-000000000000}"/>
  <bookViews>
    <workbookView xWindow="0" yWindow="0" windowWidth="25600" windowHeight="16000" activeTab="1" xr2:uid="{0318AE33-34B8-514F-929B-6AF76EBBC337}"/>
  </bookViews>
  <sheets>
    <sheet name="40m" sheetId="1" r:id="rId1"/>
    <sheet name="60m" sheetId="2" r:id="rId2"/>
  </sheets>
  <externalReferences>
    <externalReference r:id="rId3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2" l="1"/>
  <c r="G33" i="2"/>
  <c r="G32" i="2"/>
  <c r="G24" i="2"/>
  <c r="G23" i="2"/>
  <c r="G10" i="2"/>
  <c r="E30" i="2" l="1"/>
  <c r="E29" i="2"/>
  <c r="E28" i="2"/>
  <c r="E27" i="2"/>
  <c r="E26" i="2"/>
  <c r="E25" i="2"/>
  <c r="E22" i="2"/>
  <c r="E21" i="2"/>
  <c r="E20" i="2"/>
  <c r="E18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G130" i="1" l="1"/>
  <c r="G129" i="1"/>
  <c r="G128" i="1"/>
  <c r="G127" i="1"/>
  <c r="G134" i="1"/>
  <c r="G133" i="1"/>
  <c r="G132" i="1"/>
  <c r="G131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48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<sst xmlns="http://schemas.openxmlformats.org/spreadsheetml/2006/main" count="44" uniqueCount="28">
  <si>
    <t>Time</t>
  </si>
  <si>
    <t>UTC</t>
  </si>
  <si>
    <t>PN TDOA</t>
  </si>
  <si>
    <t>E Layer</t>
  </si>
  <si>
    <t>F2 Layer</t>
  </si>
  <si>
    <t>Average</t>
  </si>
  <si>
    <t>Chirp</t>
  </si>
  <si>
    <t>Number 1-10</t>
  </si>
  <si>
    <t>TDOA - ms</t>
  </si>
  <si>
    <t>Height - km</t>
  </si>
  <si>
    <t>Layer</t>
  </si>
  <si>
    <t>6, 7</t>
  </si>
  <si>
    <t>F2 TDOA</t>
  </si>
  <si>
    <t>Low beat</t>
  </si>
  <si>
    <t>TDOA</t>
  </si>
  <si>
    <t>Height from</t>
  </si>
  <si>
    <t>1E-1F2</t>
  </si>
  <si>
    <t>9,10</t>
  </si>
  <si>
    <t>.63-.68</t>
  </si>
  <si>
    <t>.476, .399</t>
  </si>
  <si>
    <t>2,5</t>
  </si>
  <si>
    <t>4,5</t>
  </si>
  <si>
    <t>7,8</t>
  </si>
  <si>
    <t>2,3,10</t>
  </si>
  <si>
    <t>6,7</t>
  </si>
  <si>
    <t xml:space="preserve"> </t>
  </si>
  <si>
    <t>1F2-2F2</t>
  </si>
  <si>
    <t>Corr.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</si>
</sst>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TDOA Data Calculated from </a:t>
            </a:r>
          </a:p>
          <a:p>
            <a:pPr>
              <a:defRPr/>
            </a:pPr>
            <a:r>
              <a:rPr lang="en-US"/>
              <a:t>PN Bursts by Audacity Autocorrelator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BB-9F42-A56A-BB4D5617B026}"/>
            </c:ext>
          </c:extLst>
        </c:ser>
        <c:ser>
          <c:idx val="1"/>
          <c:order val="1"/>
          <c:tx>
            <c:strRef>
              <c:f>'40m'!$C$1:$C$2</c:f>
              <c:strCache>
                <c:ptCount val="2"/>
                <c:pt idx="0">
                  <c:v>F2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bg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'40m'!$C$3:$C$140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1.68</c:v>
                </c:pt>
                <c:pt idx="3">
                  <c:v>2.08</c:v>
                </c:pt>
                <c:pt idx="4">
                  <c:v>1.97</c:v>
                </c:pt>
                <c:pt idx="5">
                  <c:v>1.97</c:v>
                </c:pt>
                <c:pt idx="6">
                  <c:v>1.4</c:v>
                </c:pt>
                <c:pt idx="7">
                  <c:v>1.88</c:v>
                </c:pt>
                <c:pt idx="8">
                  <c:v>1.72</c:v>
                </c:pt>
                <c:pt idx="9">
                  <c:v>2.04</c:v>
                </c:pt>
                <c:pt idx="10">
                  <c:v>1.98</c:v>
                </c:pt>
                <c:pt idx="11">
                  <c:v>1.98</c:v>
                </c:pt>
                <c:pt idx="12">
                  <c:v>1.69</c:v>
                </c:pt>
                <c:pt idx="13">
                  <c:v>2.0499999999999998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1.7</c:v>
                </c:pt>
                <c:pt idx="19">
                  <c:v>1.7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1.71</c:v>
                </c:pt>
                <c:pt idx="25">
                  <c:v>2.0699999999999998</c:v>
                </c:pt>
                <c:pt idx="26">
                  <c:v>1.63</c:v>
                </c:pt>
                <c:pt idx="27">
                  <c:v>2.02</c:v>
                </c:pt>
                <c:pt idx="28">
                  <c:v>1.75</c:v>
                </c:pt>
                <c:pt idx="29">
                  <c:v>2.02</c:v>
                </c:pt>
                <c:pt idx="30">
                  <c:v>1.7</c:v>
                </c:pt>
                <c:pt idx="31">
                  <c:v>2.0699999999999998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1.69</c:v>
                </c:pt>
                <c:pt idx="39">
                  <c:v>2.02</c:v>
                </c:pt>
                <c:pt idx="40">
                  <c:v>1.73</c:v>
                </c:pt>
                <c:pt idx="41">
                  <c:v>2.08</c:v>
                </c:pt>
                <c:pt idx="42">
                  <c:v>1.7</c:v>
                </c:pt>
                <c:pt idx="43">
                  <c:v>2.0699999999999998</c:v>
                </c:pt>
                <c:pt idx="44">
                  <c:v>1.72</c:v>
                </c:pt>
                <c:pt idx="45">
                  <c:v>2.14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1.65</c:v>
                </c:pt>
                <c:pt idx="53">
                  <c:v>2.0499999999999998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1.67</c:v>
                </c:pt>
                <c:pt idx="57">
                  <c:v>2.0499999999999998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1.7</c:v>
                </c:pt>
                <c:pt idx="63">
                  <c:v>2.0699999999999998</c:v>
                </c:pt>
                <c:pt idx="64">
                  <c:v>1.63</c:v>
                </c:pt>
                <c:pt idx="65">
                  <c:v>2.04</c:v>
                </c:pt>
                <c:pt idx="66">
                  <c:v>1.69</c:v>
                </c:pt>
                <c:pt idx="67">
                  <c:v>2.0499999999999998</c:v>
                </c:pt>
                <c:pt idx="68">
                  <c:v>1.73</c:v>
                </c:pt>
                <c:pt idx="69">
                  <c:v>2.0699999999999998</c:v>
                </c:pt>
                <c:pt idx="70">
                  <c:v>1.73</c:v>
                </c:pt>
                <c:pt idx="71">
                  <c:v>2.11</c:v>
                </c:pt>
                <c:pt idx="72">
                  <c:v>2</c:v>
                </c:pt>
                <c:pt idx="73">
                  <c:v>2</c:v>
                </c:pt>
                <c:pt idx="74">
                  <c:v>1.47</c:v>
                </c:pt>
                <c:pt idx="75">
                  <c:v>1.94</c:v>
                </c:pt>
                <c:pt idx="76">
                  <c:v>1.72</c:v>
                </c:pt>
                <c:pt idx="77">
                  <c:v>2.04</c:v>
                </c:pt>
                <c:pt idx="78">
                  <c:v>1.74</c:v>
                </c:pt>
                <c:pt idx="79">
                  <c:v>2.02</c:v>
                </c:pt>
                <c:pt idx="80">
                  <c:v>1.68</c:v>
                </c:pt>
                <c:pt idx="81">
                  <c:v>2.06</c:v>
                </c:pt>
                <c:pt idx="82">
                  <c:v>1.66</c:v>
                </c:pt>
                <c:pt idx="83">
                  <c:v>2.0499999999999998</c:v>
                </c:pt>
                <c:pt idx="84">
                  <c:v>1.73</c:v>
                </c:pt>
                <c:pt idx="85">
                  <c:v>2.04</c:v>
                </c:pt>
                <c:pt idx="86">
                  <c:v>1.79</c:v>
                </c:pt>
                <c:pt idx="87">
                  <c:v>2.0099999999999998</c:v>
                </c:pt>
                <c:pt idx="88">
                  <c:v>1.74</c:v>
                </c:pt>
                <c:pt idx="89">
                  <c:v>2.06</c:v>
                </c:pt>
                <c:pt idx="90">
                  <c:v>1.72</c:v>
                </c:pt>
                <c:pt idx="91">
                  <c:v>2.02</c:v>
                </c:pt>
                <c:pt idx="92">
                  <c:v>1.72</c:v>
                </c:pt>
                <c:pt idx="93">
                  <c:v>2.0499999999999998</c:v>
                </c:pt>
                <c:pt idx="94">
                  <c:v>1.71</c:v>
                </c:pt>
                <c:pt idx="95">
                  <c:v>2.0499999999999998</c:v>
                </c:pt>
                <c:pt idx="96">
                  <c:v>1.67</c:v>
                </c:pt>
                <c:pt idx="97">
                  <c:v>2.0299999999999998</c:v>
                </c:pt>
                <c:pt idx="98">
                  <c:v>1.72</c:v>
                </c:pt>
                <c:pt idx="99">
                  <c:v>2.0299999999999998</c:v>
                </c:pt>
                <c:pt idx="100">
                  <c:v>1.74</c:v>
                </c:pt>
                <c:pt idx="101">
                  <c:v>2.0699999999999998</c:v>
                </c:pt>
                <c:pt idx="102">
                  <c:v>1.71</c:v>
                </c:pt>
                <c:pt idx="103">
                  <c:v>2.04</c:v>
                </c:pt>
                <c:pt idx="104">
                  <c:v>1.71</c:v>
                </c:pt>
                <c:pt idx="105">
                  <c:v>2.06</c:v>
                </c:pt>
                <c:pt idx="106">
                  <c:v>1.72</c:v>
                </c:pt>
                <c:pt idx="107">
                  <c:v>2.06</c:v>
                </c:pt>
                <c:pt idx="108">
                  <c:v>1.72</c:v>
                </c:pt>
                <c:pt idx="109">
                  <c:v>2.0499999999999998</c:v>
                </c:pt>
                <c:pt idx="110">
                  <c:v>1.72</c:v>
                </c:pt>
                <c:pt idx="111">
                  <c:v>2.0499999999999998</c:v>
                </c:pt>
                <c:pt idx="112">
                  <c:v>1.7</c:v>
                </c:pt>
                <c:pt idx="113">
                  <c:v>2.04</c:v>
                </c:pt>
                <c:pt idx="114">
                  <c:v>1.7</c:v>
                </c:pt>
                <c:pt idx="115">
                  <c:v>2.0699999999999998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1.72</c:v>
                </c:pt>
                <c:pt idx="121">
                  <c:v>2.0699999999999998</c:v>
                </c:pt>
                <c:pt idx="122">
                  <c:v>1.74</c:v>
                </c:pt>
                <c:pt idx="123">
                  <c:v>2.02</c:v>
                </c:pt>
                <c:pt idx="124">
                  <c:v>1.73</c:v>
                </c:pt>
                <c:pt idx="125">
                  <c:v>1.73</c:v>
                </c:pt>
                <c:pt idx="126">
                  <c:v>1.69</c:v>
                </c:pt>
                <c:pt idx="127">
                  <c:v>2.04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BB-9F42-A56A-BB4D5617B026}"/>
            </c:ext>
          </c:extLst>
        </c:ser>
        <c:ser>
          <c:idx val="2"/>
          <c:order val="2"/>
          <c:tx>
            <c:strRef>
              <c:f>'40m'!$D$1:$D$2</c:f>
              <c:strCache>
                <c:ptCount val="2"/>
                <c:pt idx="0">
                  <c:v>Average</c:v>
                </c:pt>
                <c:pt idx="1">
                  <c:v>F2 TDOA</c:v>
                </c:pt>
              </c:strCache>
            </c:strRef>
          </c:tx>
          <c:spPr>
            <a:ln w="412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'40m'!$D$3:$D$140</c:f>
              <c:numCache>
                <c:formatCode>General</c:formatCode>
                <c:ptCount val="138"/>
                <c:pt idx="0">
                  <c:v>1.8</c:v>
                </c:pt>
                <c:pt idx="1">
                  <c:v>1.8</c:v>
                </c:pt>
                <c:pt idx="2">
                  <c:v>1.88</c:v>
                </c:pt>
                <c:pt idx="3">
                  <c:v>1.88</c:v>
                </c:pt>
                <c:pt idx="4">
                  <c:v>1.97</c:v>
                </c:pt>
                <c:pt idx="5">
                  <c:v>1.97</c:v>
                </c:pt>
                <c:pt idx="6">
                  <c:v>1.64</c:v>
                </c:pt>
                <c:pt idx="7">
                  <c:v>1.64</c:v>
                </c:pt>
                <c:pt idx="8">
                  <c:v>1.88</c:v>
                </c:pt>
                <c:pt idx="9">
                  <c:v>1.88</c:v>
                </c:pt>
                <c:pt idx="10">
                  <c:v>1.98</c:v>
                </c:pt>
                <c:pt idx="11">
                  <c:v>1.98</c:v>
                </c:pt>
                <c:pt idx="12">
                  <c:v>1.87</c:v>
                </c:pt>
                <c:pt idx="13">
                  <c:v>1.87</c:v>
                </c:pt>
                <c:pt idx="14">
                  <c:v>2.02</c:v>
                </c:pt>
                <c:pt idx="15">
                  <c:v>2.02</c:v>
                </c:pt>
                <c:pt idx="16">
                  <c:v>1.95</c:v>
                </c:pt>
                <c:pt idx="17">
                  <c:v>1.95</c:v>
                </c:pt>
                <c:pt idx="18">
                  <c:v>1.92</c:v>
                </c:pt>
                <c:pt idx="19">
                  <c:v>1.92</c:v>
                </c:pt>
                <c:pt idx="20">
                  <c:v>2.0099999999999998</c:v>
                </c:pt>
                <c:pt idx="21">
                  <c:v>2.0099999999999998</c:v>
                </c:pt>
                <c:pt idx="22">
                  <c:v>2.0299999999999998</c:v>
                </c:pt>
                <c:pt idx="23">
                  <c:v>2.0299999999999998</c:v>
                </c:pt>
                <c:pt idx="24">
                  <c:v>1.89</c:v>
                </c:pt>
                <c:pt idx="25">
                  <c:v>1.89</c:v>
                </c:pt>
                <c:pt idx="26">
                  <c:v>1.89</c:v>
                </c:pt>
                <c:pt idx="27">
                  <c:v>1.89</c:v>
                </c:pt>
                <c:pt idx="28">
                  <c:v>1.89</c:v>
                </c:pt>
                <c:pt idx="29">
                  <c:v>1.89</c:v>
                </c:pt>
                <c:pt idx="30">
                  <c:v>1.89</c:v>
                </c:pt>
                <c:pt idx="31">
                  <c:v>1.89</c:v>
                </c:pt>
                <c:pt idx="32">
                  <c:v>2.02</c:v>
                </c:pt>
                <c:pt idx="33">
                  <c:v>2.02</c:v>
                </c:pt>
                <c:pt idx="34">
                  <c:v>2.02</c:v>
                </c:pt>
                <c:pt idx="35">
                  <c:v>2.02</c:v>
                </c:pt>
                <c:pt idx="36">
                  <c:v>2.0099999999999998</c:v>
                </c:pt>
                <c:pt idx="37">
                  <c:v>2.0099999999999998</c:v>
                </c:pt>
                <c:pt idx="38">
                  <c:v>1.86</c:v>
                </c:pt>
                <c:pt idx="39">
                  <c:v>1.86</c:v>
                </c:pt>
                <c:pt idx="40">
                  <c:v>1.91</c:v>
                </c:pt>
                <c:pt idx="41">
                  <c:v>1.91</c:v>
                </c:pt>
                <c:pt idx="42">
                  <c:v>1.89</c:v>
                </c:pt>
                <c:pt idx="43">
                  <c:v>1.89</c:v>
                </c:pt>
                <c:pt idx="44">
                  <c:v>1.93</c:v>
                </c:pt>
                <c:pt idx="45">
                  <c:v>1.93</c:v>
                </c:pt>
                <c:pt idx="46">
                  <c:v>1.61</c:v>
                </c:pt>
                <c:pt idx="47">
                  <c:v>1.61</c:v>
                </c:pt>
                <c:pt idx="48">
                  <c:v>1.97</c:v>
                </c:pt>
                <c:pt idx="49">
                  <c:v>1.97</c:v>
                </c:pt>
                <c:pt idx="50">
                  <c:v>1.81</c:v>
                </c:pt>
                <c:pt idx="51">
                  <c:v>1.81</c:v>
                </c:pt>
                <c:pt idx="52">
                  <c:v>1.85</c:v>
                </c:pt>
                <c:pt idx="53">
                  <c:v>1.85</c:v>
                </c:pt>
                <c:pt idx="54">
                  <c:v>2.0299999999999998</c:v>
                </c:pt>
                <c:pt idx="55">
                  <c:v>2.0299999999999998</c:v>
                </c:pt>
                <c:pt idx="56">
                  <c:v>1.86</c:v>
                </c:pt>
                <c:pt idx="57">
                  <c:v>1.86</c:v>
                </c:pt>
                <c:pt idx="58">
                  <c:v>1.76</c:v>
                </c:pt>
                <c:pt idx="59">
                  <c:v>1.76</c:v>
                </c:pt>
                <c:pt idx="60">
                  <c:v>1.93</c:v>
                </c:pt>
                <c:pt idx="61">
                  <c:v>1.93</c:v>
                </c:pt>
                <c:pt idx="62">
                  <c:v>1.89</c:v>
                </c:pt>
                <c:pt idx="63">
                  <c:v>1.89</c:v>
                </c:pt>
                <c:pt idx="64">
                  <c:v>1.84</c:v>
                </c:pt>
                <c:pt idx="65">
                  <c:v>1.84</c:v>
                </c:pt>
                <c:pt idx="66">
                  <c:v>1.89</c:v>
                </c:pt>
                <c:pt idx="67">
                  <c:v>1.89</c:v>
                </c:pt>
                <c:pt idx="68">
                  <c:v>1.9</c:v>
                </c:pt>
                <c:pt idx="69">
                  <c:v>1.9</c:v>
                </c:pt>
                <c:pt idx="70">
                  <c:v>1.92</c:v>
                </c:pt>
                <c:pt idx="71">
                  <c:v>1.92</c:v>
                </c:pt>
                <c:pt idx="72">
                  <c:v>2</c:v>
                </c:pt>
                <c:pt idx="73">
                  <c:v>2</c:v>
                </c:pt>
                <c:pt idx="74">
                  <c:v>1.76</c:v>
                </c:pt>
                <c:pt idx="75">
                  <c:v>1.76</c:v>
                </c:pt>
                <c:pt idx="76">
                  <c:v>1.88</c:v>
                </c:pt>
                <c:pt idx="77">
                  <c:v>1.88</c:v>
                </c:pt>
                <c:pt idx="78">
                  <c:v>1.88</c:v>
                </c:pt>
                <c:pt idx="79">
                  <c:v>1.88</c:v>
                </c:pt>
                <c:pt idx="80">
                  <c:v>1.86</c:v>
                </c:pt>
                <c:pt idx="81">
                  <c:v>1.86</c:v>
                </c:pt>
                <c:pt idx="82">
                  <c:v>1.86</c:v>
                </c:pt>
                <c:pt idx="83">
                  <c:v>1.86</c:v>
                </c:pt>
                <c:pt idx="84">
                  <c:v>1.89</c:v>
                </c:pt>
                <c:pt idx="85">
                  <c:v>1.89</c:v>
                </c:pt>
                <c:pt idx="86">
                  <c:v>1.9</c:v>
                </c:pt>
                <c:pt idx="87">
                  <c:v>1.9</c:v>
                </c:pt>
                <c:pt idx="88">
                  <c:v>1.9</c:v>
                </c:pt>
                <c:pt idx="89">
                  <c:v>1.9</c:v>
                </c:pt>
                <c:pt idx="90">
                  <c:v>1.87</c:v>
                </c:pt>
                <c:pt idx="91">
                  <c:v>1.87</c:v>
                </c:pt>
                <c:pt idx="92">
                  <c:v>1.89</c:v>
                </c:pt>
                <c:pt idx="93">
                  <c:v>1.89</c:v>
                </c:pt>
                <c:pt idx="94">
                  <c:v>1.88</c:v>
                </c:pt>
                <c:pt idx="95">
                  <c:v>1.88</c:v>
                </c:pt>
                <c:pt idx="96">
                  <c:v>1.85</c:v>
                </c:pt>
                <c:pt idx="97">
                  <c:v>1.85</c:v>
                </c:pt>
                <c:pt idx="98">
                  <c:v>1.88</c:v>
                </c:pt>
                <c:pt idx="99">
                  <c:v>1.88</c:v>
                </c:pt>
                <c:pt idx="100">
                  <c:v>1.91</c:v>
                </c:pt>
                <c:pt idx="101">
                  <c:v>1.91</c:v>
                </c:pt>
                <c:pt idx="102">
                  <c:v>1.88</c:v>
                </c:pt>
                <c:pt idx="103">
                  <c:v>1.88</c:v>
                </c:pt>
                <c:pt idx="104">
                  <c:v>1.89</c:v>
                </c:pt>
                <c:pt idx="105">
                  <c:v>1.89</c:v>
                </c:pt>
                <c:pt idx="106">
                  <c:v>1.89</c:v>
                </c:pt>
                <c:pt idx="107">
                  <c:v>1.89</c:v>
                </c:pt>
                <c:pt idx="108">
                  <c:v>1.89</c:v>
                </c:pt>
                <c:pt idx="109">
                  <c:v>1.89</c:v>
                </c:pt>
                <c:pt idx="110">
                  <c:v>1.89</c:v>
                </c:pt>
                <c:pt idx="111">
                  <c:v>1.89</c:v>
                </c:pt>
                <c:pt idx="112">
                  <c:v>1.87</c:v>
                </c:pt>
                <c:pt idx="113">
                  <c:v>1.87</c:v>
                </c:pt>
                <c:pt idx="114">
                  <c:v>1.89</c:v>
                </c:pt>
                <c:pt idx="115">
                  <c:v>1.89</c:v>
                </c:pt>
                <c:pt idx="116">
                  <c:v>1.95</c:v>
                </c:pt>
                <c:pt idx="117">
                  <c:v>1.95</c:v>
                </c:pt>
                <c:pt idx="118">
                  <c:v>1.89</c:v>
                </c:pt>
                <c:pt idx="119">
                  <c:v>1.89</c:v>
                </c:pt>
                <c:pt idx="120">
                  <c:v>1.88</c:v>
                </c:pt>
                <c:pt idx="121">
                  <c:v>1.88</c:v>
                </c:pt>
                <c:pt idx="122">
                  <c:v>1.88</c:v>
                </c:pt>
                <c:pt idx="123">
                  <c:v>1.88</c:v>
                </c:pt>
                <c:pt idx="124">
                  <c:v>1.73</c:v>
                </c:pt>
                <c:pt idx="125">
                  <c:v>1.73</c:v>
                </c:pt>
                <c:pt idx="126">
                  <c:v>1.75</c:v>
                </c:pt>
                <c:pt idx="127">
                  <c:v>1.75</c:v>
                </c:pt>
                <c:pt idx="128">
                  <c:v>1.97</c:v>
                </c:pt>
                <c:pt idx="129">
                  <c:v>1.97</c:v>
                </c:pt>
                <c:pt idx="130">
                  <c:v>1.87</c:v>
                </c:pt>
                <c:pt idx="131">
                  <c:v>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BB-9F42-A56A-BB4D5617B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- UTC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TDOA</a:t>
                </a:r>
                <a:r>
                  <a:rPr lang="en-US" baseline="0"/>
                  <a:t> -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6C-5041-8F4C-B38B8B68845B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66C-5041-8F4C-B38B8B6884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3A-464C-96CD-63469D9AA17D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A-464C-96CD-63469D9AA17D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3A-464C-96CD-63469D9AA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40m 04/08/2024</a:t>
            </a:r>
          </a:p>
          <a:p>
            <a:pPr>
              <a:defRPr/>
            </a:pPr>
            <a:r>
              <a:rPr lang="en-US"/>
              <a:t>317 km San</a:t>
            </a:r>
            <a:r>
              <a:rPr lang="en-US" baseline="0"/>
              <a:t> Antonio - Abilene Path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'40m'!$B$3:$B$140</c:f>
              <c:numCache>
                <c:formatCode>General</c:formatCode>
                <c:ptCount val="138"/>
                <c:pt idx="0">
                  <c:v>0.42199999999999999</c:v>
                </c:pt>
                <c:pt idx="1">
                  <c:v>0.42199999999999999</c:v>
                </c:pt>
                <c:pt idx="2">
                  <c:v>0.42399999999999999</c:v>
                </c:pt>
                <c:pt idx="3">
                  <c:v>0.42399999999999999</c:v>
                </c:pt>
                <c:pt idx="4">
                  <c:v>0.432</c:v>
                </c:pt>
                <c:pt idx="5">
                  <c:v>0.432</c:v>
                </c:pt>
                <c:pt idx="6">
                  <c:v>0.42799999999999999</c:v>
                </c:pt>
                <c:pt idx="7">
                  <c:v>0.42799999999999999</c:v>
                </c:pt>
                <c:pt idx="8">
                  <c:v>0.42199999999999999</c:v>
                </c:pt>
                <c:pt idx="9">
                  <c:v>0.42199999999999999</c:v>
                </c:pt>
                <c:pt idx="10">
                  <c:v>0.439</c:v>
                </c:pt>
                <c:pt idx="11">
                  <c:v>0.439</c:v>
                </c:pt>
                <c:pt idx="12">
                  <c:v>0.42499999999999999</c:v>
                </c:pt>
                <c:pt idx="13">
                  <c:v>0.42499999999999999</c:v>
                </c:pt>
                <c:pt idx="14">
                  <c:v>0.42799999999999999</c:v>
                </c:pt>
                <c:pt idx="15">
                  <c:v>0.42799999999999999</c:v>
                </c:pt>
                <c:pt idx="16">
                  <c:v>0.42299999999999999</c:v>
                </c:pt>
                <c:pt idx="17">
                  <c:v>0.42299999999999999</c:v>
                </c:pt>
                <c:pt idx="18">
                  <c:v>0.432</c:v>
                </c:pt>
                <c:pt idx="19">
                  <c:v>0.432</c:v>
                </c:pt>
                <c:pt idx="20">
                  <c:v>0.42899999999999999</c:v>
                </c:pt>
                <c:pt idx="21">
                  <c:v>0.42899999999999999</c:v>
                </c:pt>
                <c:pt idx="22">
                  <c:v>0.42799999999999999</c:v>
                </c:pt>
                <c:pt idx="23">
                  <c:v>0.42799999999999999</c:v>
                </c:pt>
                <c:pt idx="24">
                  <c:v>0.435</c:v>
                </c:pt>
                <c:pt idx="25">
                  <c:v>0.435</c:v>
                </c:pt>
                <c:pt idx="26">
                  <c:v>0.41399999999999998</c:v>
                </c:pt>
                <c:pt idx="27">
                  <c:v>0.41399999999999998</c:v>
                </c:pt>
                <c:pt idx="28">
                  <c:v>0.44</c:v>
                </c:pt>
                <c:pt idx="29">
                  <c:v>0.44</c:v>
                </c:pt>
                <c:pt idx="30">
                  <c:v>0.41899999999999998</c:v>
                </c:pt>
                <c:pt idx="31">
                  <c:v>0.41899999999999998</c:v>
                </c:pt>
                <c:pt idx="32">
                  <c:v>0.42899999999999999</c:v>
                </c:pt>
                <c:pt idx="33">
                  <c:v>0.42899999999999999</c:v>
                </c:pt>
                <c:pt idx="34">
                  <c:v>0.42899999999999999</c:v>
                </c:pt>
                <c:pt idx="35">
                  <c:v>0.42899999999999999</c:v>
                </c:pt>
                <c:pt idx="36">
                  <c:v>0.42799999999999999</c:v>
                </c:pt>
                <c:pt idx="37">
                  <c:v>0.42799999999999999</c:v>
                </c:pt>
                <c:pt idx="38">
                  <c:v>0.42599999999999999</c:v>
                </c:pt>
                <c:pt idx="39">
                  <c:v>0.42599999999999999</c:v>
                </c:pt>
                <c:pt idx="40">
                  <c:v>0.42599999999999999</c:v>
                </c:pt>
                <c:pt idx="41">
                  <c:v>0.42599999999999999</c:v>
                </c:pt>
                <c:pt idx="42">
                  <c:v>0.42299999999999999</c:v>
                </c:pt>
                <c:pt idx="43">
                  <c:v>0.42299999999999999</c:v>
                </c:pt>
                <c:pt idx="44">
                  <c:v>0.42299999999999999</c:v>
                </c:pt>
                <c:pt idx="45">
                  <c:v>0.42299999999999999</c:v>
                </c:pt>
                <c:pt idx="46">
                  <c:v>0.42799999999999999</c:v>
                </c:pt>
                <c:pt idx="47">
                  <c:v>0.42799999999999999</c:v>
                </c:pt>
                <c:pt idx="48">
                  <c:v>0.42799999999999999</c:v>
                </c:pt>
                <c:pt idx="49">
                  <c:v>0.42799999999999999</c:v>
                </c:pt>
                <c:pt idx="50">
                  <c:v>0.42399999999999999</c:v>
                </c:pt>
                <c:pt idx="51">
                  <c:v>0.42399999999999999</c:v>
                </c:pt>
                <c:pt idx="52">
                  <c:v>0.42599999999999999</c:v>
                </c:pt>
                <c:pt idx="53">
                  <c:v>0.42599999999999999</c:v>
                </c:pt>
                <c:pt idx="54">
                  <c:v>0.43099999999999999</c:v>
                </c:pt>
                <c:pt idx="55">
                  <c:v>0.43099999999999999</c:v>
                </c:pt>
                <c:pt idx="56">
                  <c:v>0.44400000000000001</c:v>
                </c:pt>
                <c:pt idx="57">
                  <c:v>0.44400000000000001</c:v>
                </c:pt>
                <c:pt idx="58">
                  <c:v>0.40799999999999997</c:v>
                </c:pt>
                <c:pt idx="59">
                  <c:v>0.40799999999999997</c:v>
                </c:pt>
                <c:pt idx="60">
                  <c:v>0.43099999999999999</c:v>
                </c:pt>
                <c:pt idx="61">
                  <c:v>0.43099999999999999</c:v>
                </c:pt>
                <c:pt idx="62">
                  <c:v>0.42499999999999999</c:v>
                </c:pt>
                <c:pt idx="63">
                  <c:v>0.42499999999999999</c:v>
                </c:pt>
                <c:pt idx="64">
                  <c:v>0.432</c:v>
                </c:pt>
                <c:pt idx="65">
                  <c:v>0.432</c:v>
                </c:pt>
                <c:pt idx="66">
                  <c:v>0.42099999999999999</c:v>
                </c:pt>
                <c:pt idx="67">
                  <c:v>0.42099999999999999</c:v>
                </c:pt>
                <c:pt idx="68">
                  <c:v>0.42199999999999999</c:v>
                </c:pt>
                <c:pt idx="69">
                  <c:v>0.42199999999999999</c:v>
                </c:pt>
                <c:pt idx="70">
                  <c:v>0.41499999999999998</c:v>
                </c:pt>
                <c:pt idx="71">
                  <c:v>0.41499999999999998</c:v>
                </c:pt>
                <c:pt idx="72">
                  <c:v>0.441</c:v>
                </c:pt>
                <c:pt idx="73">
                  <c:v>0.441</c:v>
                </c:pt>
                <c:pt idx="74">
                  <c:v>0.41899999999999998</c:v>
                </c:pt>
                <c:pt idx="75">
                  <c:v>0.41899999999999998</c:v>
                </c:pt>
                <c:pt idx="76">
                  <c:v>0.42799999999999999</c:v>
                </c:pt>
                <c:pt idx="77">
                  <c:v>0.42799999999999999</c:v>
                </c:pt>
                <c:pt idx="78">
                  <c:v>0.41899999999999998</c:v>
                </c:pt>
                <c:pt idx="79">
                  <c:v>0.41899999999999998</c:v>
                </c:pt>
                <c:pt idx="80">
                  <c:v>0.441</c:v>
                </c:pt>
                <c:pt idx="81">
                  <c:v>0.441</c:v>
                </c:pt>
                <c:pt idx="82">
                  <c:v>0.42899999999999999</c:v>
                </c:pt>
                <c:pt idx="83">
                  <c:v>0.42899999999999999</c:v>
                </c:pt>
                <c:pt idx="84">
                  <c:v>0.42599999999999999</c:v>
                </c:pt>
                <c:pt idx="85">
                  <c:v>0.42599999999999999</c:v>
                </c:pt>
                <c:pt idx="86">
                  <c:v>0.42799999999999999</c:v>
                </c:pt>
                <c:pt idx="87">
                  <c:v>0.42799999999999999</c:v>
                </c:pt>
                <c:pt idx="88">
                  <c:v>0.42299999999999999</c:v>
                </c:pt>
                <c:pt idx="89">
                  <c:v>0.42299999999999999</c:v>
                </c:pt>
                <c:pt idx="90">
                  <c:v>0.42599999999999999</c:v>
                </c:pt>
                <c:pt idx="91">
                  <c:v>0.42599999999999999</c:v>
                </c:pt>
                <c:pt idx="92">
                  <c:v>0.42799999999999999</c:v>
                </c:pt>
                <c:pt idx="93">
                  <c:v>0.42799999999999999</c:v>
                </c:pt>
                <c:pt idx="94">
                  <c:v>0.42599999999999999</c:v>
                </c:pt>
                <c:pt idx="95">
                  <c:v>0.42599999999999999</c:v>
                </c:pt>
                <c:pt idx="96">
                  <c:v>0.42499999999999999</c:v>
                </c:pt>
                <c:pt idx="97">
                  <c:v>0.42499999999999999</c:v>
                </c:pt>
                <c:pt idx="98">
                  <c:v>0.42599999999999999</c:v>
                </c:pt>
                <c:pt idx="99">
                  <c:v>0.42599999999999999</c:v>
                </c:pt>
                <c:pt idx="100">
                  <c:v>0.433</c:v>
                </c:pt>
                <c:pt idx="101">
                  <c:v>0.433</c:v>
                </c:pt>
                <c:pt idx="102">
                  <c:v>0.41399999999999998</c:v>
                </c:pt>
                <c:pt idx="103">
                  <c:v>0.41399999999999998</c:v>
                </c:pt>
                <c:pt idx="104">
                  <c:v>0.43</c:v>
                </c:pt>
                <c:pt idx="105">
                  <c:v>0.43</c:v>
                </c:pt>
                <c:pt idx="106">
                  <c:v>0.43</c:v>
                </c:pt>
                <c:pt idx="107">
                  <c:v>0.43</c:v>
                </c:pt>
                <c:pt idx="108">
                  <c:v>0.42099999999999999</c:v>
                </c:pt>
                <c:pt idx="109">
                  <c:v>0.42099999999999999</c:v>
                </c:pt>
                <c:pt idx="110">
                  <c:v>0.42399999999999999</c:v>
                </c:pt>
                <c:pt idx="111">
                  <c:v>0.42399999999999999</c:v>
                </c:pt>
                <c:pt idx="112">
                  <c:v>0.42599999999999999</c:v>
                </c:pt>
                <c:pt idx="113">
                  <c:v>0.42599999999999999</c:v>
                </c:pt>
                <c:pt idx="114">
                  <c:v>0.434</c:v>
                </c:pt>
                <c:pt idx="115">
                  <c:v>0.434</c:v>
                </c:pt>
                <c:pt idx="116">
                  <c:v>0.438</c:v>
                </c:pt>
                <c:pt idx="117">
                  <c:v>0.438</c:v>
                </c:pt>
                <c:pt idx="118">
                  <c:v>0.41599999999999998</c:v>
                </c:pt>
                <c:pt idx="119">
                  <c:v>0.41599999999999998</c:v>
                </c:pt>
                <c:pt idx="120">
                  <c:v>0.41899999999999998</c:v>
                </c:pt>
                <c:pt idx="121">
                  <c:v>0.41899999999999998</c:v>
                </c:pt>
                <c:pt idx="122">
                  <c:v>0.42399999999999999</c:v>
                </c:pt>
                <c:pt idx="123">
                  <c:v>0.42399999999999999</c:v>
                </c:pt>
                <c:pt idx="124">
                  <c:v>0.42399999999999999</c:v>
                </c:pt>
                <c:pt idx="125">
                  <c:v>0.42399999999999999</c:v>
                </c:pt>
                <c:pt idx="126">
                  <c:v>0.439</c:v>
                </c:pt>
                <c:pt idx="127">
                  <c:v>0.439</c:v>
                </c:pt>
                <c:pt idx="128">
                  <c:v>0.43099999999999999</c:v>
                </c:pt>
                <c:pt idx="129">
                  <c:v>0.43099999999999999</c:v>
                </c:pt>
                <c:pt idx="130">
                  <c:v>0.42699999999999999</c:v>
                </c:pt>
                <c:pt idx="131">
                  <c:v>0.42699999999999999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4-4848-AD6C-96AD22CBA44C}"/>
            </c:ext>
          </c:extLst>
        </c:ser>
        <c:ser>
          <c:idx val="4"/>
          <c:order val="1"/>
          <c:tx>
            <c:strRef>
              <c:f>'40m'!$F$1:$F$2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'40m'!$F$3:$F$140</c:f>
              <c:numCache>
                <c:formatCode>General</c:formatCode>
                <c:ptCount val="138"/>
                <c:pt idx="0">
                  <c:v>1.62</c:v>
                </c:pt>
                <c:pt idx="1">
                  <c:v>1.62</c:v>
                </c:pt>
                <c:pt idx="2">
                  <c:v>1.62</c:v>
                </c:pt>
                <c:pt idx="3">
                  <c:v>1.62</c:v>
                </c:pt>
                <c:pt idx="4">
                  <c:v>1.59</c:v>
                </c:pt>
                <c:pt idx="5">
                  <c:v>1.59</c:v>
                </c:pt>
                <c:pt idx="6">
                  <c:v>1.59</c:v>
                </c:pt>
                <c:pt idx="7">
                  <c:v>1.59</c:v>
                </c:pt>
                <c:pt idx="8">
                  <c:v>1.72</c:v>
                </c:pt>
                <c:pt idx="9">
                  <c:v>1.72</c:v>
                </c:pt>
                <c:pt idx="10">
                  <c:v>1.72</c:v>
                </c:pt>
                <c:pt idx="11">
                  <c:v>1.72</c:v>
                </c:pt>
                <c:pt idx="12">
                  <c:v>1.88</c:v>
                </c:pt>
                <c:pt idx="13">
                  <c:v>1.88</c:v>
                </c:pt>
                <c:pt idx="14">
                  <c:v>1.88</c:v>
                </c:pt>
                <c:pt idx="15">
                  <c:v>1.88</c:v>
                </c:pt>
                <c:pt idx="16">
                  <c:v>1.89</c:v>
                </c:pt>
                <c:pt idx="17">
                  <c:v>1.89</c:v>
                </c:pt>
                <c:pt idx="18">
                  <c:v>1.89</c:v>
                </c:pt>
                <c:pt idx="19">
                  <c:v>1.89</c:v>
                </c:pt>
                <c:pt idx="20">
                  <c:v>1.82</c:v>
                </c:pt>
                <c:pt idx="21">
                  <c:v>1.82</c:v>
                </c:pt>
                <c:pt idx="22">
                  <c:v>1.82</c:v>
                </c:pt>
                <c:pt idx="23">
                  <c:v>1.82</c:v>
                </c:pt>
                <c:pt idx="24">
                  <c:v>1.9</c:v>
                </c:pt>
                <c:pt idx="25">
                  <c:v>1.9</c:v>
                </c:pt>
                <c:pt idx="26">
                  <c:v>1.9</c:v>
                </c:pt>
                <c:pt idx="27">
                  <c:v>1.9</c:v>
                </c:pt>
                <c:pt idx="28">
                  <c:v>1.96</c:v>
                </c:pt>
                <c:pt idx="29">
                  <c:v>1.96</c:v>
                </c:pt>
                <c:pt idx="30">
                  <c:v>1.96</c:v>
                </c:pt>
                <c:pt idx="31">
                  <c:v>1.96</c:v>
                </c:pt>
                <c:pt idx="32">
                  <c:v>1.95</c:v>
                </c:pt>
                <c:pt idx="33">
                  <c:v>1.95</c:v>
                </c:pt>
                <c:pt idx="34">
                  <c:v>1.95</c:v>
                </c:pt>
                <c:pt idx="35">
                  <c:v>1.95</c:v>
                </c:pt>
                <c:pt idx="36">
                  <c:v>1.89</c:v>
                </c:pt>
                <c:pt idx="37">
                  <c:v>1.89</c:v>
                </c:pt>
                <c:pt idx="38">
                  <c:v>1.89</c:v>
                </c:pt>
                <c:pt idx="39">
                  <c:v>1.89</c:v>
                </c:pt>
                <c:pt idx="40">
                  <c:v>1.96</c:v>
                </c:pt>
                <c:pt idx="41">
                  <c:v>1.96</c:v>
                </c:pt>
                <c:pt idx="42">
                  <c:v>1.96</c:v>
                </c:pt>
                <c:pt idx="43">
                  <c:v>1.96</c:v>
                </c:pt>
                <c:pt idx="44">
                  <c:v>1.94</c:v>
                </c:pt>
                <c:pt idx="45">
                  <c:v>1.94</c:v>
                </c:pt>
                <c:pt idx="46">
                  <c:v>1.94</c:v>
                </c:pt>
                <c:pt idx="47">
                  <c:v>1.94</c:v>
                </c:pt>
                <c:pt idx="48">
                  <c:v>2.02</c:v>
                </c:pt>
                <c:pt idx="49">
                  <c:v>2.02</c:v>
                </c:pt>
                <c:pt idx="50">
                  <c:v>2.02</c:v>
                </c:pt>
                <c:pt idx="51">
                  <c:v>2.02</c:v>
                </c:pt>
                <c:pt idx="52">
                  <c:v>1.89</c:v>
                </c:pt>
                <c:pt idx="53">
                  <c:v>1.89</c:v>
                </c:pt>
                <c:pt idx="54">
                  <c:v>1.89</c:v>
                </c:pt>
                <c:pt idx="55">
                  <c:v>1.89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1.82</c:v>
                </c:pt>
                <c:pt idx="61">
                  <c:v>1.82</c:v>
                </c:pt>
                <c:pt idx="62">
                  <c:v>1.82</c:v>
                </c:pt>
                <c:pt idx="63">
                  <c:v>1.82</c:v>
                </c:pt>
                <c:pt idx="64">
                  <c:v>1.89</c:v>
                </c:pt>
                <c:pt idx="65">
                  <c:v>1.89</c:v>
                </c:pt>
                <c:pt idx="66">
                  <c:v>1.89</c:v>
                </c:pt>
                <c:pt idx="67">
                  <c:v>1.89</c:v>
                </c:pt>
                <c:pt idx="68">
                  <c:v>1.67</c:v>
                </c:pt>
                <c:pt idx="69">
                  <c:v>1.67</c:v>
                </c:pt>
                <c:pt idx="70">
                  <c:v>1.67</c:v>
                </c:pt>
                <c:pt idx="71">
                  <c:v>1.67</c:v>
                </c:pt>
                <c:pt idx="72">
                  <c:v>1.76</c:v>
                </c:pt>
                <c:pt idx="73">
                  <c:v>1.76</c:v>
                </c:pt>
                <c:pt idx="74">
                  <c:v>1.76</c:v>
                </c:pt>
                <c:pt idx="75">
                  <c:v>1.76</c:v>
                </c:pt>
                <c:pt idx="76">
                  <c:v>1.83</c:v>
                </c:pt>
                <c:pt idx="77">
                  <c:v>1.83</c:v>
                </c:pt>
                <c:pt idx="78">
                  <c:v>1.83</c:v>
                </c:pt>
                <c:pt idx="79">
                  <c:v>1.83</c:v>
                </c:pt>
                <c:pt idx="80">
                  <c:v>1.85</c:v>
                </c:pt>
                <c:pt idx="81">
                  <c:v>1.85</c:v>
                </c:pt>
                <c:pt idx="82">
                  <c:v>1.85</c:v>
                </c:pt>
                <c:pt idx="83">
                  <c:v>1.85</c:v>
                </c:pt>
                <c:pt idx="84">
                  <c:v>1.75</c:v>
                </c:pt>
                <c:pt idx="85">
                  <c:v>1.75</c:v>
                </c:pt>
                <c:pt idx="86">
                  <c:v>1.75</c:v>
                </c:pt>
                <c:pt idx="87">
                  <c:v>1.75</c:v>
                </c:pt>
                <c:pt idx="88">
                  <c:v>1.87</c:v>
                </c:pt>
                <c:pt idx="89">
                  <c:v>1.87</c:v>
                </c:pt>
                <c:pt idx="90">
                  <c:v>1.87</c:v>
                </c:pt>
                <c:pt idx="91">
                  <c:v>1.87</c:v>
                </c:pt>
                <c:pt idx="92">
                  <c:v>1.75</c:v>
                </c:pt>
                <c:pt idx="93">
                  <c:v>1.75</c:v>
                </c:pt>
                <c:pt idx="94">
                  <c:v>1.75</c:v>
                </c:pt>
                <c:pt idx="95">
                  <c:v>1.75</c:v>
                </c:pt>
                <c:pt idx="96">
                  <c:v>1.97</c:v>
                </c:pt>
                <c:pt idx="97">
                  <c:v>1.97</c:v>
                </c:pt>
                <c:pt idx="98">
                  <c:v>1.97</c:v>
                </c:pt>
                <c:pt idx="99">
                  <c:v>1.97</c:v>
                </c:pt>
                <c:pt idx="100">
                  <c:v>1.98</c:v>
                </c:pt>
                <c:pt idx="101">
                  <c:v>1.98</c:v>
                </c:pt>
                <c:pt idx="102">
                  <c:v>1.98</c:v>
                </c:pt>
                <c:pt idx="103">
                  <c:v>1.98</c:v>
                </c:pt>
                <c:pt idx="104">
                  <c:v>1.87</c:v>
                </c:pt>
                <c:pt idx="105">
                  <c:v>1.87</c:v>
                </c:pt>
                <c:pt idx="106">
                  <c:v>1.87</c:v>
                </c:pt>
                <c:pt idx="107">
                  <c:v>1.87</c:v>
                </c:pt>
                <c:pt idx="108">
                  <c:v>2.04</c:v>
                </c:pt>
                <c:pt idx="109">
                  <c:v>2.04</c:v>
                </c:pt>
                <c:pt idx="110">
                  <c:v>2.04</c:v>
                </c:pt>
                <c:pt idx="111">
                  <c:v>2.04</c:v>
                </c:pt>
                <c:pt idx="112">
                  <c:v>1.92</c:v>
                </c:pt>
                <c:pt idx="113">
                  <c:v>1.92</c:v>
                </c:pt>
                <c:pt idx="114">
                  <c:v>1.92</c:v>
                </c:pt>
                <c:pt idx="115">
                  <c:v>1.92</c:v>
                </c:pt>
                <c:pt idx="116">
                  <c:v>1.85</c:v>
                </c:pt>
                <c:pt idx="117">
                  <c:v>1.85</c:v>
                </c:pt>
                <c:pt idx="118">
                  <c:v>1.85</c:v>
                </c:pt>
                <c:pt idx="119">
                  <c:v>1.85</c:v>
                </c:pt>
                <c:pt idx="120">
                  <c:v>1.72</c:v>
                </c:pt>
                <c:pt idx="121">
                  <c:v>1.72</c:v>
                </c:pt>
                <c:pt idx="122">
                  <c:v>1.72</c:v>
                </c:pt>
                <c:pt idx="123">
                  <c:v>1.72</c:v>
                </c:pt>
                <c:pt idx="124">
                  <c:v>1.92</c:v>
                </c:pt>
                <c:pt idx="125">
                  <c:v>1.92</c:v>
                </c:pt>
                <c:pt idx="126">
                  <c:v>1.92</c:v>
                </c:pt>
                <c:pt idx="127">
                  <c:v>1.92</c:v>
                </c:pt>
                <c:pt idx="128">
                  <c:v>1.71</c:v>
                </c:pt>
                <c:pt idx="129">
                  <c:v>1.71</c:v>
                </c:pt>
                <c:pt idx="130">
                  <c:v>1.71</c:v>
                </c:pt>
                <c:pt idx="131">
                  <c:v>1.71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47775"/>
        <c:axId val="733244895"/>
      </c:scatterChart>
      <c:scatterChart>
        <c:scatterStyle val="lineMarker"/>
        <c:varyColors val="0"/>
        <c:ser>
          <c:idx val="5"/>
          <c:order val="2"/>
          <c:tx>
            <c:strRef>
              <c:f>'40m'!$G$1:$G$2</c:f>
              <c:strCache>
                <c:ptCount val="2"/>
                <c:pt idx="0">
                  <c:v>Layer</c:v>
                </c:pt>
                <c:pt idx="1">
                  <c:v>Height - km</c:v>
                </c:pt>
              </c:strCache>
            </c:strRef>
          </c:tx>
          <c:spPr>
            <a:ln w="19050" cap="rnd">
              <a:solidFill>
                <a:srgbClr val="FF0000">
                  <a:alpha val="0"/>
                </a:srgb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'40m'!$A$3:$A$140</c:f>
              <c:numCache>
                <c:formatCode>h:mm</c:formatCode>
                <c:ptCount val="138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'40m'!$G$3:$G$140</c:f>
              <c:numCache>
                <c:formatCode>General</c:formatCode>
                <c:ptCount val="138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64-4848-AD6C-96AD22CBA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0731919"/>
        <c:axId val="750326095"/>
      </c:scatterChart>
      <c:valAx>
        <c:axId val="733247775"/>
        <c:scaling>
          <c:orientation val="minMax"/>
          <c:max val="0.875"/>
          <c:min val="0.5416666666999999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4895"/>
        <c:crosses val="autoZero"/>
        <c:crossBetween val="midCat"/>
        <c:majorUnit val="4.1666666999999998E-2"/>
        <c:minorUnit val="1.0416666600000001E-2"/>
      </c:valAx>
      <c:valAx>
        <c:axId val="733244895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47775"/>
        <c:crosses val="autoZero"/>
        <c:crossBetween val="midCat"/>
      </c:valAx>
      <c:valAx>
        <c:axId val="750326095"/>
        <c:scaling>
          <c:orientation val="minMax"/>
          <c:max val="462"/>
          <c:min val="36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731919"/>
        <c:crosses val="max"/>
        <c:crossBetween val="midCat"/>
      </c:valAx>
      <c:valAx>
        <c:axId val="750731919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750326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WA5FRF-AB5YO and WA5FRF-N5DUP 7 MHz TDOA</a:t>
            </a:r>
            <a:r>
              <a:rPr lang="en-US" baseline="0"/>
              <a:t> Ht. </a:t>
            </a:r>
          </a:p>
          <a:p>
            <a:pPr>
              <a:defRPr/>
            </a:pPr>
            <a:r>
              <a:rPr lang="en-US" baseline="0"/>
              <a:t>With Austin hmF2 Ionosonde Data</a:t>
            </a:r>
          </a:p>
          <a:p>
            <a:pPr>
              <a:defRPr/>
            </a:pPr>
            <a:r>
              <a:rPr lang="en-US" baseline="0"/>
              <a:t>TDOA Calculated from Chirp Beat Note Period. </a:t>
            </a:r>
            <a:r>
              <a:rPr lang="en-US"/>
              <a:t>04/08/2024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WA5FRF-N5DUP 317km Path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'40m'!$A$3:$A$134</c:f>
              <c:numCache>
                <c:formatCode>h:mm</c:formatCode>
                <c:ptCount val="132"/>
                <c:pt idx="0">
                  <c:v>0.59236111111111112</c:v>
                </c:pt>
                <c:pt idx="1">
                  <c:v>0.59236111111111112</c:v>
                </c:pt>
                <c:pt idx="2">
                  <c:v>0.59236111111111112</c:v>
                </c:pt>
                <c:pt idx="3">
                  <c:v>0.59236111111111112</c:v>
                </c:pt>
                <c:pt idx="4">
                  <c:v>0.59930555555555554</c:v>
                </c:pt>
                <c:pt idx="5">
                  <c:v>0.59930555555555554</c:v>
                </c:pt>
                <c:pt idx="6">
                  <c:v>0.59930555555555554</c:v>
                </c:pt>
                <c:pt idx="7">
                  <c:v>0.59930555555555554</c:v>
                </c:pt>
                <c:pt idx="8">
                  <c:v>0.60624999999999996</c:v>
                </c:pt>
                <c:pt idx="9">
                  <c:v>0.60624999999999996</c:v>
                </c:pt>
                <c:pt idx="10">
                  <c:v>0.60624999999999996</c:v>
                </c:pt>
                <c:pt idx="11">
                  <c:v>0.60624999999999996</c:v>
                </c:pt>
                <c:pt idx="12">
                  <c:v>0.61319444444444449</c:v>
                </c:pt>
                <c:pt idx="13">
                  <c:v>0.61319444444444449</c:v>
                </c:pt>
                <c:pt idx="14">
                  <c:v>0.61319444444444449</c:v>
                </c:pt>
                <c:pt idx="15">
                  <c:v>0.61319444444444449</c:v>
                </c:pt>
                <c:pt idx="16">
                  <c:v>0.62083333333333335</c:v>
                </c:pt>
                <c:pt idx="17">
                  <c:v>0.62083333333333335</c:v>
                </c:pt>
                <c:pt idx="18">
                  <c:v>0.62083333333333335</c:v>
                </c:pt>
                <c:pt idx="19">
                  <c:v>0.62083333333333335</c:v>
                </c:pt>
                <c:pt idx="20">
                  <c:v>0.62708333333333333</c:v>
                </c:pt>
                <c:pt idx="21">
                  <c:v>0.62708333333333333</c:v>
                </c:pt>
                <c:pt idx="22">
                  <c:v>0.62708333333333333</c:v>
                </c:pt>
                <c:pt idx="23">
                  <c:v>0.62708333333333333</c:v>
                </c:pt>
                <c:pt idx="24">
                  <c:v>0.63402777777777775</c:v>
                </c:pt>
                <c:pt idx="25">
                  <c:v>0.63402777777777775</c:v>
                </c:pt>
                <c:pt idx="26">
                  <c:v>0.63402777777777775</c:v>
                </c:pt>
                <c:pt idx="27">
                  <c:v>0.63402777777777775</c:v>
                </c:pt>
                <c:pt idx="28">
                  <c:v>0.64097222222222228</c:v>
                </c:pt>
                <c:pt idx="29">
                  <c:v>0.64097222222222228</c:v>
                </c:pt>
                <c:pt idx="30">
                  <c:v>0.64097222222222228</c:v>
                </c:pt>
                <c:pt idx="31">
                  <c:v>0.64097222222222228</c:v>
                </c:pt>
                <c:pt idx="32">
                  <c:v>0.6479166666666667</c:v>
                </c:pt>
                <c:pt idx="33">
                  <c:v>0.6479166666666667</c:v>
                </c:pt>
                <c:pt idx="34">
                  <c:v>0.6479166666666667</c:v>
                </c:pt>
                <c:pt idx="35">
                  <c:v>0.6479166666666667</c:v>
                </c:pt>
                <c:pt idx="36">
                  <c:v>0.65486111111111112</c:v>
                </c:pt>
                <c:pt idx="37">
                  <c:v>0.65486111111111112</c:v>
                </c:pt>
                <c:pt idx="38">
                  <c:v>0.65486111111111112</c:v>
                </c:pt>
                <c:pt idx="39">
                  <c:v>0.65486111111111112</c:v>
                </c:pt>
                <c:pt idx="40">
                  <c:v>0.66180555555555554</c:v>
                </c:pt>
                <c:pt idx="41">
                  <c:v>0.66180555555555554</c:v>
                </c:pt>
                <c:pt idx="42">
                  <c:v>0.66180555555555554</c:v>
                </c:pt>
                <c:pt idx="43">
                  <c:v>0.66180555555555554</c:v>
                </c:pt>
                <c:pt idx="44">
                  <c:v>0.66874999999999996</c:v>
                </c:pt>
                <c:pt idx="45">
                  <c:v>0.66874999999999996</c:v>
                </c:pt>
                <c:pt idx="46">
                  <c:v>0.66874999999999996</c:v>
                </c:pt>
                <c:pt idx="47">
                  <c:v>0.66874999999999996</c:v>
                </c:pt>
                <c:pt idx="48">
                  <c:v>0.67569444444444449</c:v>
                </c:pt>
                <c:pt idx="49">
                  <c:v>0.67569444444444449</c:v>
                </c:pt>
                <c:pt idx="50">
                  <c:v>0.67569444444444449</c:v>
                </c:pt>
                <c:pt idx="51">
                  <c:v>0.67569444444444449</c:v>
                </c:pt>
                <c:pt idx="52">
                  <c:v>0.68263888888888891</c:v>
                </c:pt>
                <c:pt idx="53">
                  <c:v>0.68263888888888891</c:v>
                </c:pt>
                <c:pt idx="54">
                  <c:v>0.68263888888888891</c:v>
                </c:pt>
                <c:pt idx="55">
                  <c:v>0.68263888888888891</c:v>
                </c:pt>
                <c:pt idx="56">
                  <c:v>0.68958333333333333</c:v>
                </c:pt>
                <c:pt idx="57">
                  <c:v>0.68958333333333333</c:v>
                </c:pt>
                <c:pt idx="58">
                  <c:v>0.68958333333333333</c:v>
                </c:pt>
                <c:pt idx="59">
                  <c:v>0.68958333333333333</c:v>
                </c:pt>
                <c:pt idx="60">
                  <c:v>0.69722222222222219</c:v>
                </c:pt>
                <c:pt idx="61">
                  <c:v>0.69722222222222219</c:v>
                </c:pt>
                <c:pt idx="62">
                  <c:v>0.69722222222222219</c:v>
                </c:pt>
                <c:pt idx="63">
                  <c:v>0.69722222222222219</c:v>
                </c:pt>
                <c:pt idx="64">
                  <c:v>0.72430555555555554</c:v>
                </c:pt>
                <c:pt idx="65">
                  <c:v>0.72430555555555554</c:v>
                </c:pt>
                <c:pt idx="66">
                  <c:v>0.72430555555555554</c:v>
                </c:pt>
                <c:pt idx="67">
                  <c:v>0.72430555555555554</c:v>
                </c:pt>
                <c:pt idx="68">
                  <c:v>0.73124999999999996</c:v>
                </c:pt>
                <c:pt idx="69">
                  <c:v>0.73124999999999996</c:v>
                </c:pt>
                <c:pt idx="70">
                  <c:v>0.73124999999999996</c:v>
                </c:pt>
                <c:pt idx="71">
                  <c:v>0.73124999999999996</c:v>
                </c:pt>
                <c:pt idx="72">
                  <c:v>0.73819444444444449</c:v>
                </c:pt>
                <c:pt idx="73">
                  <c:v>0.73819444444444449</c:v>
                </c:pt>
                <c:pt idx="74">
                  <c:v>0.73819444444444449</c:v>
                </c:pt>
                <c:pt idx="75">
                  <c:v>0.73819444444444449</c:v>
                </c:pt>
                <c:pt idx="76">
                  <c:v>0.74513888888888891</c:v>
                </c:pt>
                <c:pt idx="77">
                  <c:v>0.74513888888888891</c:v>
                </c:pt>
                <c:pt idx="78">
                  <c:v>0.74513888888888891</c:v>
                </c:pt>
                <c:pt idx="79">
                  <c:v>0.74513888888888891</c:v>
                </c:pt>
                <c:pt idx="80">
                  <c:v>0.75208333333333333</c:v>
                </c:pt>
                <c:pt idx="81">
                  <c:v>0.75208333333333333</c:v>
                </c:pt>
                <c:pt idx="82">
                  <c:v>0.75208333333333333</c:v>
                </c:pt>
                <c:pt idx="83">
                  <c:v>0.75208333333333333</c:v>
                </c:pt>
                <c:pt idx="84">
                  <c:v>0.75902777777777775</c:v>
                </c:pt>
                <c:pt idx="85">
                  <c:v>0.75902777777777775</c:v>
                </c:pt>
                <c:pt idx="86">
                  <c:v>0.75902777777777775</c:v>
                </c:pt>
                <c:pt idx="87">
                  <c:v>0.75902777777777775</c:v>
                </c:pt>
                <c:pt idx="88">
                  <c:v>0.76666666666666672</c:v>
                </c:pt>
                <c:pt idx="89">
                  <c:v>0.76666666666666672</c:v>
                </c:pt>
                <c:pt idx="90">
                  <c:v>0.76666666666666672</c:v>
                </c:pt>
                <c:pt idx="91">
                  <c:v>0.76666666666666672</c:v>
                </c:pt>
                <c:pt idx="92">
                  <c:v>0.7729166666666667</c:v>
                </c:pt>
                <c:pt idx="93">
                  <c:v>0.7729166666666667</c:v>
                </c:pt>
                <c:pt idx="94">
                  <c:v>0.7729166666666667</c:v>
                </c:pt>
                <c:pt idx="95">
                  <c:v>0.7729166666666667</c:v>
                </c:pt>
                <c:pt idx="96">
                  <c:v>0.78125</c:v>
                </c:pt>
                <c:pt idx="97">
                  <c:v>0.78125</c:v>
                </c:pt>
                <c:pt idx="98">
                  <c:v>0.78125</c:v>
                </c:pt>
                <c:pt idx="99">
                  <c:v>0.78125</c:v>
                </c:pt>
                <c:pt idx="100">
                  <c:v>0.78749999999999998</c:v>
                </c:pt>
                <c:pt idx="101">
                  <c:v>0.78749999999999998</c:v>
                </c:pt>
                <c:pt idx="102">
                  <c:v>0.78749999999999998</c:v>
                </c:pt>
                <c:pt idx="103">
                  <c:v>0.78749999999999998</c:v>
                </c:pt>
                <c:pt idx="104">
                  <c:v>0.7944444444444444</c:v>
                </c:pt>
                <c:pt idx="105">
                  <c:v>0.7944444444444444</c:v>
                </c:pt>
                <c:pt idx="106">
                  <c:v>0.7944444444444444</c:v>
                </c:pt>
                <c:pt idx="107">
                  <c:v>0.7944444444444444</c:v>
                </c:pt>
                <c:pt idx="108">
                  <c:v>0.80625000000000002</c:v>
                </c:pt>
                <c:pt idx="109">
                  <c:v>0.80625000000000002</c:v>
                </c:pt>
                <c:pt idx="110">
                  <c:v>0.80625000000000002</c:v>
                </c:pt>
                <c:pt idx="111">
                  <c:v>0.80625000000000002</c:v>
                </c:pt>
                <c:pt idx="112">
                  <c:v>0.80972222222222223</c:v>
                </c:pt>
                <c:pt idx="113">
                  <c:v>0.80972222222222223</c:v>
                </c:pt>
                <c:pt idx="114">
                  <c:v>0.80972222222222223</c:v>
                </c:pt>
                <c:pt idx="115">
                  <c:v>0.80972222222222223</c:v>
                </c:pt>
                <c:pt idx="116">
                  <c:v>0.81527777777777777</c:v>
                </c:pt>
                <c:pt idx="117">
                  <c:v>0.81527777777777777</c:v>
                </c:pt>
                <c:pt idx="118">
                  <c:v>0.81527777777777777</c:v>
                </c:pt>
                <c:pt idx="119">
                  <c:v>0.81527777777777777</c:v>
                </c:pt>
                <c:pt idx="120">
                  <c:v>0.82152777777777775</c:v>
                </c:pt>
                <c:pt idx="121">
                  <c:v>0.82152777777777775</c:v>
                </c:pt>
                <c:pt idx="122">
                  <c:v>0.82152777777777775</c:v>
                </c:pt>
                <c:pt idx="123">
                  <c:v>0.82152777777777775</c:v>
                </c:pt>
                <c:pt idx="124">
                  <c:v>0.82847222222222228</c:v>
                </c:pt>
                <c:pt idx="125">
                  <c:v>0.82847222222222228</c:v>
                </c:pt>
                <c:pt idx="126">
                  <c:v>0.82847222222222228</c:v>
                </c:pt>
                <c:pt idx="127">
                  <c:v>0.82847222222222228</c:v>
                </c:pt>
                <c:pt idx="128">
                  <c:v>0.84236111111111112</c:v>
                </c:pt>
                <c:pt idx="129">
                  <c:v>0.84236111111111112</c:v>
                </c:pt>
                <c:pt idx="130">
                  <c:v>0.84236111111111112</c:v>
                </c:pt>
                <c:pt idx="131">
                  <c:v>0.84236111111111112</c:v>
                </c:pt>
              </c:numCache>
            </c:numRef>
          </c:xVal>
          <c:yVal>
            <c:numRef>
              <c:f>'40m'!$G$3:$G$134</c:f>
              <c:numCache>
                <c:formatCode>General</c:formatCode>
                <c:ptCount val="132"/>
                <c:pt idx="0">
                  <c:v>266.14000000000004</c:v>
                </c:pt>
                <c:pt idx="1">
                  <c:v>266.14000000000004</c:v>
                </c:pt>
                <c:pt idx="2">
                  <c:v>266.14000000000004</c:v>
                </c:pt>
                <c:pt idx="3">
                  <c:v>266.14000000000004</c:v>
                </c:pt>
                <c:pt idx="4">
                  <c:v>261.88</c:v>
                </c:pt>
                <c:pt idx="5">
                  <c:v>261.88</c:v>
                </c:pt>
                <c:pt idx="6">
                  <c:v>261.88</c:v>
                </c:pt>
                <c:pt idx="7">
                  <c:v>261.88</c:v>
                </c:pt>
                <c:pt idx="8">
                  <c:v>280.34000000000003</c:v>
                </c:pt>
                <c:pt idx="9">
                  <c:v>280.34000000000003</c:v>
                </c:pt>
                <c:pt idx="10">
                  <c:v>280.34000000000003</c:v>
                </c:pt>
                <c:pt idx="11">
                  <c:v>280.34000000000003</c:v>
                </c:pt>
                <c:pt idx="12">
                  <c:v>303.06</c:v>
                </c:pt>
                <c:pt idx="13">
                  <c:v>303.06</c:v>
                </c:pt>
                <c:pt idx="14">
                  <c:v>303.06</c:v>
                </c:pt>
                <c:pt idx="15">
                  <c:v>303.06</c:v>
                </c:pt>
                <c:pt idx="16">
                  <c:v>304.48</c:v>
                </c:pt>
                <c:pt idx="17">
                  <c:v>304.48</c:v>
                </c:pt>
                <c:pt idx="18">
                  <c:v>304.48</c:v>
                </c:pt>
                <c:pt idx="19">
                  <c:v>304.48</c:v>
                </c:pt>
                <c:pt idx="20">
                  <c:v>294.54000000000002</c:v>
                </c:pt>
                <c:pt idx="21">
                  <c:v>294.54000000000002</c:v>
                </c:pt>
                <c:pt idx="22">
                  <c:v>294.54000000000002</c:v>
                </c:pt>
                <c:pt idx="23">
                  <c:v>294.54000000000002</c:v>
                </c:pt>
                <c:pt idx="24">
                  <c:v>305.90000000000003</c:v>
                </c:pt>
                <c:pt idx="25">
                  <c:v>305.90000000000003</c:v>
                </c:pt>
                <c:pt idx="26">
                  <c:v>305.90000000000003</c:v>
                </c:pt>
                <c:pt idx="27">
                  <c:v>305.90000000000003</c:v>
                </c:pt>
                <c:pt idx="28">
                  <c:v>314.42</c:v>
                </c:pt>
                <c:pt idx="29">
                  <c:v>314.42</c:v>
                </c:pt>
                <c:pt idx="30">
                  <c:v>314.42</c:v>
                </c:pt>
                <c:pt idx="31">
                  <c:v>314.42</c:v>
                </c:pt>
                <c:pt idx="32">
                  <c:v>313</c:v>
                </c:pt>
                <c:pt idx="33">
                  <c:v>313</c:v>
                </c:pt>
                <c:pt idx="34">
                  <c:v>313</c:v>
                </c:pt>
                <c:pt idx="35">
                  <c:v>313</c:v>
                </c:pt>
                <c:pt idx="36">
                  <c:v>304.48</c:v>
                </c:pt>
                <c:pt idx="37">
                  <c:v>304.48</c:v>
                </c:pt>
                <c:pt idx="38">
                  <c:v>304.48</c:v>
                </c:pt>
                <c:pt idx="39">
                  <c:v>304.48</c:v>
                </c:pt>
                <c:pt idx="40">
                  <c:v>314.42</c:v>
                </c:pt>
                <c:pt idx="41">
                  <c:v>314.42</c:v>
                </c:pt>
                <c:pt idx="42">
                  <c:v>314.42</c:v>
                </c:pt>
                <c:pt idx="43">
                  <c:v>314.42</c:v>
                </c:pt>
                <c:pt idx="44">
                  <c:v>311.58000000000004</c:v>
                </c:pt>
                <c:pt idx="45">
                  <c:v>311.58000000000004</c:v>
                </c:pt>
                <c:pt idx="46">
                  <c:v>311.58000000000004</c:v>
                </c:pt>
                <c:pt idx="47">
                  <c:v>311.58000000000004</c:v>
                </c:pt>
                <c:pt idx="48">
                  <c:v>322.94</c:v>
                </c:pt>
                <c:pt idx="49">
                  <c:v>322.94</c:v>
                </c:pt>
                <c:pt idx="50">
                  <c:v>322.94</c:v>
                </c:pt>
                <c:pt idx="51">
                  <c:v>322.94</c:v>
                </c:pt>
                <c:pt idx="52">
                  <c:v>304.48</c:v>
                </c:pt>
                <c:pt idx="53">
                  <c:v>304.48</c:v>
                </c:pt>
                <c:pt idx="54">
                  <c:v>304.48</c:v>
                </c:pt>
                <c:pt idx="55">
                  <c:v>304.48</c:v>
                </c:pt>
                <c:pt idx="56">
                  <c:v>291.7</c:v>
                </c:pt>
                <c:pt idx="57">
                  <c:v>291.7</c:v>
                </c:pt>
                <c:pt idx="58">
                  <c:v>291.7</c:v>
                </c:pt>
                <c:pt idx="59">
                  <c:v>291.7</c:v>
                </c:pt>
                <c:pt idx="60">
                  <c:v>294.54000000000002</c:v>
                </c:pt>
                <c:pt idx="61">
                  <c:v>294.54000000000002</c:v>
                </c:pt>
                <c:pt idx="62">
                  <c:v>294.54000000000002</c:v>
                </c:pt>
                <c:pt idx="63">
                  <c:v>294.54000000000002</c:v>
                </c:pt>
                <c:pt idx="64">
                  <c:v>304.48</c:v>
                </c:pt>
                <c:pt idx="65">
                  <c:v>304.48</c:v>
                </c:pt>
                <c:pt idx="66">
                  <c:v>304.48</c:v>
                </c:pt>
                <c:pt idx="67">
                  <c:v>304.48</c:v>
                </c:pt>
                <c:pt idx="68">
                  <c:v>273.24</c:v>
                </c:pt>
                <c:pt idx="69">
                  <c:v>273.24</c:v>
                </c:pt>
                <c:pt idx="70">
                  <c:v>273.24</c:v>
                </c:pt>
                <c:pt idx="71">
                  <c:v>273.24</c:v>
                </c:pt>
                <c:pt idx="72">
                  <c:v>286.02</c:v>
                </c:pt>
                <c:pt idx="73">
                  <c:v>286.02</c:v>
                </c:pt>
                <c:pt idx="74">
                  <c:v>286.02</c:v>
                </c:pt>
                <c:pt idx="75">
                  <c:v>286.02</c:v>
                </c:pt>
                <c:pt idx="76">
                  <c:v>295.96000000000004</c:v>
                </c:pt>
                <c:pt idx="77">
                  <c:v>295.96000000000004</c:v>
                </c:pt>
                <c:pt idx="78">
                  <c:v>295.96000000000004</c:v>
                </c:pt>
                <c:pt idx="79">
                  <c:v>295.96000000000004</c:v>
                </c:pt>
                <c:pt idx="80">
                  <c:v>298.8</c:v>
                </c:pt>
                <c:pt idx="81">
                  <c:v>298.8</c:v>
                </c:pt>
                <c:pt idx="82">
                  <c:v>298.8</c:v>
                </c:pt>
                <c:pt idx="83">
                  <c:v>298.8</c:v>
                </c:pt>
                <c:pt idx="84">
                  <c:v>284.60000000000002</c:v>
                </c:pt>
                <c:pt idx="85">
                  <c:v>284.60000000000002</c:v>
                </c:pt>
                <c:pt idx="86">
                  <c:v>284.60000000000002</c:v>
                </c:pt>
                <c:pt idx="87">
                  <c:v>284.60000000000002</c:v>
                </c:pt>
                <c:pt idx="88">
                  <c:v>301.64000000000004</c:v>
                </c:pt>
                <c:pt idx="89">
                  <c:v>301.64000000000004</c:v>
                </c:pt>
                <c:pt idx="90">
                  <c:v>301.64000000000004</c:v>
                </c:pt>
                <c:pt idx="91">
                  <c:v>301.64000000000004</c:v>
                </c:pt>
                <c:pt idx="92">
                  <c:v>284.60000000000002</c:v>
                </c:pt>
                <c:pt idx="93">
                  <c:v>284.60000000000002</c:v>
                </c:pt>
                <c:pt idx="94">
                  <c:v>284.60000000000002</c:v>
                </c:pt>
                <c:pt idx="95">
                  <c:v>284.60000000000002</c:v>
                </c:pt>
                <c:pt idx="96">
                  <c:v>315.84000000000003</c:v>
                </c:pt>
                <c:pt idx="97">
                  <c:v>315.84000000000003</c:v>
                </c:pt>
                <c:pt idx="98">
                  <c:v>315.84000000000003</c:v>
                </c:pt>
                <c:pt idx="99">
                  <c:v>315.84000000000003</c:v>
                </c:pt>
                <c:pt idx="100">
                  <c:v>317.26000000000005</c:v>
                </c:pt>
                <c:pt idx="101">
                  <c:v>317.26000000000005</c:v>
                </c:pt>
                <c:pt idx="102">
                  <c:v>317.26000000000005</c:v>
                </c:pt>
                <c:pt idx="103">
                  <c:v>317.26000000000005</c:v>
                </c:pt>
                <c:pt idx="104">
                  <c:v>301.64000000000004</c:v>
                </c:pt>
                <c:pt idx="105">
                  <c:v>301.64000000000004</c:v>
                </c:pt>
                <c:pt idx="106">
                  <c:v>301.64000000000004</c:v>
                </c:pt>
                <c:pt idx="107">
                  <c:v>301.64000000000004</c:v>
                </c:pt>
                <c:pt idx="108">
                  <c:v>325.78000000000003</c:v>
                </c:pt>
                <c:pt idx="109">
                  <c:v>325.78000000000003</c:v>
                </c:pt>
                <c:pt idx="110">
                  <c:v>325.78000000000003</c:v>
                </c:pt>
                <c:pt idx="111">
                  <c:v>325.78000000000003</c:v>
                </c:pt>
                <c:pt idx="112">
                  <c:v>308.74</c:v>
                </c:pt>
                <c:pt idx="113">
                  <c:v>308.74</c:v>
                </c:pt>
                <c:pt idx="114">
                  <c:v>308.74</c:v>
                </c:pt>
                <c:pt idx="115">
                  <c:v>308.74</c:v>
                </c:pt>
                <c:pt idx="116">
                  <c:v>298.8</c:v>
                </c:pt>
                <c:pt idx="117">
                  <c:v>298.8</c:v>
                </c:pt>
                <c:pt idx="118">
                  <c:v>298.8</c:v>
                </c:pt>
                <c:pt idx="119">
                  <c:v>298.8</c:v>
                </c:pt>
                <c:pt idx="120">
                  <c:v>280.34000000000003</c:v>
                </c:pt>
                <c:pt idx="121">
                  <c:v>280.34000000000003</c:v>
                </c:pt>
                <c:pt idx="122">
                  <c:v>280.34000000000003</c:v>
                </c:pt>
                <c:pt idx="123">
                  <c:v>280.34000000000003</c:v>
                </c:pt>
                <c:pt idx="124">
                  <c:v>308.74</c:v>
                </c:pt>
                <c:pt idx="125">
                  <c:v>308.74</c:v>
                </c:pt>
                <c:pt idx="126">
                  <c:v>308.74</c:v>
                </c:pt>
                <c:pt idx="127">
                  <c:v>308.74</c:v>
                </c:pt>
                <c:pt idx="128">
                  <c:v>278.92</c:v>
                </c:pt>
                <c:pt idx="129">
                  <c:v>278.92</c:v>
                </c:pt>
                <c:pt idx="130">
                  <c:v>278.92</c:v>
                </c:pt>
                <c:pt idx="131">
                  <c:v>278.92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EE-DB4B-B0B3-E12ED5BE8823}"/>
            </c:ext>
          </c:extLst>
        </c:ser>
        <c:ser>
          <c:idx val="3"/>
          <c:order val="1"/>
          <c:tx>
            <c:v>WA5FRF-AB5YO 8.8km NVIS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[1]Sheet1!$M$3:$M$49</c:f>
              <c:numCache>
                <c:formatCode>General</c:formatCode>
                <c:ptCount val="47"/>
                <c:pt idx="0">
                  <c:v>0.58819444444444446</c:v>
                </c:pt>
                <c:pt idx="1">
                  <c:v>0.59236111111111112</c:v>
                </c:pt>
                <c:pt idx="2">
                  <c:v>0.59930555555555554</c:v>
                </c:pt>
                <c:pt idx="3">
                  <c:v>0.60624999999999996</c:v>
                </c:pt>
                <c:pt idx="4">
                  <c:v>0.61319444444444449</c:v>
                </c:pt>
                <c:pt idx="5">
                  <c:v>0.62013888888888891</c:v>
                </c:pt>
                <c:pt idx="6">
                  <c:v>0.62083333333333335</c:v>
                </c:pt>
                <c:pt idx="7">
                  <c:v>0.62708333333333333</c:v>
                </c:pt>
                <c:pt idx="8">
                  <c:v>0.63402777777777775</c:v>
                </c:pt>
                <c:pt idx="9">
                  <c:v>0.64097222222222228</c:v>
                </c:pt>
                <c:pt idx="10">
                  <c:v>0.6479166666666667</c:v>
                </c:pt>
                <c:pt idx="11">
                  <c:v>0.65486111111111112</c:v>
                </c:pt>
                <c:pt idx="12">
                  <c:v>0.66597222222222219</c:v>
                </c:pt>
                <c:pt idx="13">
                  <c:v>0.66874999999999996</c:v>
                </c:pt>
                <c:pt idx="14">
                  <c:v>0.67569444444444449</c:v>
                </c:pt>
                <c:pt idx="15">
                  <c:v>0.68263888888888891</c:v>
                </c:pt>
                <c:pt idx="16">
                  <c:v>0.69722222222222219</c:v>
                </c:pt>
                <c:pt idx="17">
                  <c:v>0.70347222222222228</c:v>
                </c:pt>
                <c:pt idx="18">
                  <c:v>0.7104166666666667</c:v>
                </c:pt>
                <c:pt idx="19">
                  <c:v>0.71736111111111112</c:v>
                </c:pt>
                <c:pt idx="20">
                  <c:v>0.72430555555555554</c:v>
                </c:pt>
                <c:pt idx="21">
                  <c:v>0.73124999999999996</c:v>
                </c:pt>
                <c:pt idx="22">
                  <c:v>0.73819444444444449</c:v>
                </c:pt>
                <c:pt idx="23">
                  <c:v>0.74513888888888891</c:v>
                </c:pt>
                <c:pt idx="24">
                  <c:v>0.75208333333333333</c:v>
                </c:pt>
                <c:pt idx="25">
                  <c:v>0.75902777777777775</c:v>
                </c:pt>
                <c:pt idx="26">
                  <c:v>0.76597222222222228</c:v>
                </c:pt>
                <c:pt idx="27">
                  <c:v>0.76736111111111116</c:v>
                </c:pt>
                <c:pt idx="28">
                  <c:v>0.7729166666666667</c:v>
                </c:pt>
                <c:pt idx="29">
                  <c:v>0.77777777777777779</c:v>
                </c:pt>
                <c:pt idx="30">
                  <c:v>0.77986111111111112</c:v>
                </c:pt>
                <c:pt idx="31">
                  <c:v>0.78125</c:v>
                </c:pt>
                <c:pt idx="32">
                  <c:v>0.78680555555555554</c:v>
                </c:pt>
                <c:pt idx="33">
                  <c:v>0.78749999999999998</c:v>
                </c:pt>
                <c:pt idx="34">
                  <c:v>0.79236111111111107</c:v>
                </c:pt>
                <c:pt idx="35">
                  <c:v>0.79305555555555551</c:v>
                </c:pt>
                <c:pt idx="36">
                  <c:v>0.79374999999999996</c:v>
                </c:pt>
                <c:pt idx="37">
                  <c:v>0.79513888888888884</c:v>
                </c:pt>
                <c:pt idx="38">
                  <c:v>0.80069444444444449</c:v>
                </c:pt>
                <c:pt idx="39">
                  <c:v>0.80555555555555558</c:v>
                </c:pt>
                <c:pt idx="40">
                  <c:v>0.80694444444444446</c:v>
                </c:pt>
                <c:pt idx="41">
                  <c:v>0.80972222222222223</c:v>
                </c:pt>
                <c:pt idx="42">
                  <c:v>0.81527777777777777</c:v>
                </c:pt>
                <c:pt idx="43">
                  <c:v>0.81597222222222221</c:v>
                </c:pt>
                <c:pt idx="44">
                  <c:v>0.82152777777777775</c:v>
                </c:pt>
                <c:pt idx="45">
                  <c:v>0.82847222222222228</c:v>
                </c:pt>
                <c:pt idx="46">
                  <c:v>0.84236111111111112</c:v>
                </c:pt>
              </c:numCache>
            </c:numRef>
          </c:xVal>
          <c:yVal>
            <c:numRef>
              <c:f>[1]Sheet1!$N$3:$N$49</c:f>
              <c:numCache>
                <c:formatCode>General</c:formatCode>
                <c:ptCount val="47"/>
                <c:pt idx="0">
                  <c:v>257</c:v>
                </c:pt>
                <c:pt idx="1">
                  <c:v>252</c:v>
                </c:pt>
                <c:pt idx="2">
                  <c:v>269</c:v>
                </c:pt>
                <c:pt idx="3">
                  <c:v>276</c:v>
                </c:pt>
                <c:pt idx="4">
                  <c:v>280</c:v>
                </c:pt>
                <c:pt idx="5">
                  <c:v>280</c:v>
                </c:pt>
                <c:pt idx="6">
                  <c:v>291</c:v>
                </c:pt>
                <c:pt idx="7">
                  <c:v>285</c:v>
                </c:pt>
                <c:pt idx="8">
                  <c:v>282</c:v>
                </c:pt>
                <c:pt idx="9">
                  <c:v>306</c:v>
                </c:pt>
                <c:pt idx="10">
                  <c:v>306</c:v>
                </c:pt>
                <c:pt idx="11">
                  <c:v>306</c:v>
                </c:pt>
                <c:pt idx="12">
                  <c:v>313</c:v>
                </c:pt>
                <c:pt idx="13">
                  <c:v>313</c:v>
                </c:pt>
                <c:pt idx="14">
                  <c:v>303</c:v>
                </c:pt>
                <c:pt idx="15">
                  <c:v>291</c:v>
                </c:pt>
                <c:pt idx="16">
                  <c:v>287</c:v>
                </c:pt>
                <c:pt idx="17">
                  <c:v>296</c:v>
                </c:pt>
                <c:pt idx="18">
                  <c:v>296</c:v>
                </c:pt>
                <c:pt idx="19">
                  <c:v>273</c:v>
                </c:pt>
                <c:pt idx="20">
                  <c:v>287</c:v>
                </c:pt>
                <c:pt idx="21">
                  <c:v>287</c:v>
                </c:pt>
                <c:pt idx="22">
                  <c:v>286</c:v>
                </c:pt>
                <c:pt idx="23">
                  <c:v>293</c:v>
                </c:pt>
                <c:pt idx="24">
                  <c:v>278</c:v>
                </c:pt>
                <c:pt idx="25">
                  <c:v>284</c:v>
                </c:pt>
                <c:pt idx="26">
                  <c:v>276</c:v>
                </c:pt>
                <c:pt idx="27">
                  <c:v>276</c:v>
                </c:pt>
                <c:pt idx="28">
                  <c:v>268</c:v>
                </c:pt>
                <c:pt idx="29">
                  <c:v>290</c:v>
                </c:pt>
                <c:pt idx="30">
                  <c:v>295</c:v>
                </c:pt>
                <c:pt idx="31">
                  <c:v>297</c:v>
                </c:pt>
                <c:pt idx="32">
                  <c:v>300</c:v>
                </c:pt>
                <c:pt idx="33">
                  <c:v>304</c:v>
                </c:pt>
                <c:pt idx="34">
                  <c:v>300</c:v>
                </c:pt>
                <c:pt idx="35">
                  <c:v>300</c:v>
                </c:pt>
                <c:pt idx="36">
                  <c:v>300</c:v>
                </c:pt>
                <c:pt idx="37">
                  <c:v>302</c:v>
                </c:pt>
                <c:pt idx="38">
                  <c:v>302</c:v>
                </c:pt>
                <c:pt idx="39">
                  <c:v>300</c:v>
                </c:pt>
                <c:pt idx="40">
                  <c:v>303</c:v>
                </c:pt>
                <c:pt idx="41">
                  <c:v>297</c:v>
                </c:pt>
                <c:pt idx="42">
                  <c:v>294</c:v>
                </c:pt>
                <c:pt idx="43">
                  <c:v>292</c:v>
                </c:pt>
                <c:pt idx="44">
                  <c:v>293</c:v>
                </c:pt>
                <c:pt idx="45">
                  <c:v>293</c:v>
                </c:pt>
                <c:pt idx="46">
                  <c:v>276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E-DB4B-B0B3-E12ED5BE8823}"/>
            </c:ext>
          </c:extLst>
        </c:ser>
        <c:ser>
          <c:idx val="0"/>
          <c:order val="2"/>
          <c:tx>
            <c:v>Austin hmF2</c:v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[1]Sheet1!$C$3:$C$290</c:f>
              <c:numCache>
                <c:formatCode>General</c:formatCode>
                <c:ptCount val="288"/>
                <c:pt idx="0">
                  <c:v>5.7870370370370373E-5</c:v>
                </c:pt>
                <c:pt idx="1">
                  <c:v>3.5300925925925925E-3</c:v>
                </c:pt>
                <c:pt idx="2">
                  <c:v>7.0023148148148145E-3</c:v>
                </c:pt>
                <c:pt idx="3">
                  <c:v>1.0474537037037037E-2</c:v>
                </c:pt>
                <c:pt idx="4">
                  <c:v>1.3946759259259259E-2</c:v>
                </c:pt>
                <c:pt idx="5">
                  <c:v>1.7418981481481483E-2</c:v>
                </c:pt>
                <c:pt idx="6">
                  <c:v>2.0891203703703703E-2</c:v>
                </c:pt>
                <c:pt idx="7">
                  <c:v>2.4363425925925927E-2</c:v>
                </c:pt>
                <c:pt idx="8">
                  <c:v>2.7835648148148148E-2</c:v>
                </c:pt>
                <c:pt idx="9">
                  <c:v>3.1307870370370368E-2</c:v>
                </c:pt>
                <c:pt idx="10">
                  <c:v>3.4780092592592592E-2</c:v>
                </c:pt>
                <c:pt idx="11">
                  <c:v>3.8252314814814815E-2</c:v>
                </c:pt>
                <c:pt idx="12">
                  <c:v>4.1724537037037039E-2</c:v>
                </c:pt>
                <c:pt idx="13">
                  <c:v>4.5196759259259256E-2</c:v>
                </c:pt>
                <c:pt idx="14">
                  <c:v>4.866898148148148E-2</c:v>
                </c:pt>
                <c:pt idx="15">
                  <c:v>5.2141203703703703E-2</c:v>
                </c:pt>
                <c:pt idx="16">
                  <c:v>5.5613425925925927E-2</c:v>
                </c:pt>
                <c:pt idx="17">
                  <c:v>5.9085648148148151E-2</c:v>
                </c:pt>
                <c:pt idx="18">
                  <c:v>6.2557870370370375E-2</c:v>
                </c:pt>
                <c:pt idx="19">
                  <c:v>6.6030092592592599E-2</c:v>
                </c:pt>
                <c:pt idx="20">
                  <c:v>6.9502314814814808E-2</c:v>
                </c:pt>
                <c:pt idx="21">
                  <c:v>7.2974537037037032E-2</c:v>
                </c:pt>
                <c:pt idx="22">
                  <c:v>7.6446759259259256E-2</c:v>
                </c:pt>
                <c:pt idx="23">
                  <c:v>7.991898148148148E-2</c:v>
                </c:pt>
                <c:pt idx="24">
                  <c:v>8.3391203703703703E-2</c:v>
                </c:pt>
                <c:pt idx="25">
                  <c:v>8.6863425925925927E-2</c:v>
                </c:pt>
                <c:pt idx="26">
                  <c:v>9.0335648148148151E-2</c:v>
                </c:pt>
                <c:pt idx="27">
                  <c:v>9.3807870370370375E-2</c:v>
                </c:pt>
                <c:pt idx="28">
                  <c:v>9.7280092592592599E-2</c:v>
                </c:pt>
                <c:pt idx="29">
                  <c:v>0.10075231481481481</c:v>
                </c:pt>
                <c:pt idx="30">
                  <c:v>0.10422453703703703</c:v>
                </c:pt>
                <c:pt idx="31">
                  <c:v>0.10769675925925926</c:v>
                </c:pt>
                <c:pt idx="32">
                  <c:v>0.11116898148148148</c:v>
                </c:pt>
                <c:pt idx="33">
                  <c:v>0.1146412037037037</c:v>
                </c:pt>
                <c:pt idx="34">
                  <c:v>0.11811342592592593</c:v>
                </c:pt>
                <c:pt idx="35">
                  <c:v>0.12158564814814815</c:v>
                </c:pt>
                <c:pt idx="36">
                  <c:v>0.12505787037037036</c:v>
                </c:pt>
                <c:pt idx="37">
                  <c:v>0.1285300925925926</c:v>
                </c:pt>
                <c:pt idx="38">
                  <c:v>0.13200231481481481</c:v>
                </c:pt>
                <c:pt idx="39">
                  <c:v>0.13547453703703705</c:v>
                </c:pt>
                <c:pt idx="40">
                  <c:v>0.13894675925925926</c:v>
                </c:pt>
                <c:pt idx="41">
                  <c:v>0.14241898148148149</c:v>
                </c:pt>
                <c:pt idx="42">
                  <c:v>0.1458912037037037</c:v>
                </c:pt>
                <c:pt idx="43">
                  <c:v>0.14936342592592591</c:v>
                </c:pt>
                <c:pt idx="44">
                  <c:v>0.15283564814814815</c:v>
                </c:pt>
                <c:pt idx="45">
                  <c:v>0.15630787037037036</c:v>
                </c:pt>
                <c:pt idx="46">
                  <c:v>0.1597800925925926</c:v>
                </c:pt>
                <c:pt idx="47">
                  <c:v>0.16325231481481481</c:v>
                </c:pt>
                <c:pt idx="48">
                  <c:v>0.16672453703703705</c:v>
                </c:pt>
                <c:pt idx="49">
                  <c:v>0.17019675925925926</c:v>
                </c:pt>
                <c:pt idx="50">
                  <c:v>0.17366898148148149</c:v>
                </c:pt>
                <c:pt idx="51">
                  <c:v>0.1771412037037037</c:v>
                </c:pt>
                <c:pt idx="52">
                  <c:v>0.18061342592592591</c:v>
                </c:pt>
                <c:pt idx="53">
                  <c:v>0.18408564814814815</c:v>
                </c:pt>
                <c:pt idx="54">
                  <c:v>0.18755787037037036</c:v>
                </c:pt>
                <c:pt idx="55">
                  <c:v>0.1910300925925926</c:v>
                </c:pt>
                <c:pt idx="56">
                  <c:v>0.19450231481481481</c:v>
                </c:pt>
                <c:pt idx="57">
                  <c:v>0.19797453703703705</c:v>
                </c:pt>
                <c:pt idx="58">
                  <c:v>0.20144675925925926</c:v>
                </c:pt>
                <c:pt idx="59">
                  <c:v>0.20491898148148149</c:v>
                </c:pt>
                <c:pt idx="60">
                  <c:v>0.2083912037037037</c:v>
                </c:pt>
                <c:pt idx="61">
                  <c:v>0.21186342592592591</c:v>
                </c:pt>
                <c:pt idx="62">
                  <c:v>0.21533564814814815</c:v>
                </c:pt>
                <c:pt idx="63">
                  <c:v>0.21880787037037036</c:v>
                </c:pt>
                <c:pt idx="64">
                  <c:v>0.2222800925925926</c:v>
                </c:pt>
                <c:pt idx="65">
                  <c:v>0.22575231481481481</c:v>
                </c:pt>
                <c:pt idx="66">
                  <c:v>0.22922453703703705</c:v>
                </c:pt>
                <c:pt idx="67">
                  <c:v>0.23269675925925926</c:v>
                </c:pt>
                <c:pt idx="68">
                  <c:v>0.23616898148148149</c:v>
                </c:pt>
                <c:pt idx="69">
                  <c:v>0.2396412037037037</c:v>
                </c:pt>
                <c:pt idx="70">
                  <c:v>0.24311342592592591</c:v>
                </c:pt>
                <c:pt idx="71">
                  <c:v>0.24658564814814815</c:v>
                </c:pt>
                <c:pt idx="72">
                  <c:v>0.25005787037037036</c:v>
                </c:pt>
                <c:pt idx="73">
                  <c:v>0.25353009259259257</c:v>
                </c:pt>
                <c:pt idx="74">
                  <c:v>0.25700231481481484</c:v>
                </c:pt>
                <c:pt idx="75">
                  <c:v>0.26047453703703705</c:v>
                </c:pt>
                <c:pt idx="76">
                  <c:v>0.26394675925925926</c:v>
                </c:pt>
                <c:pt idx="77">
                  <c:v>0.26741898148148147</c:v>
                </c:pt>
                <c:pt idx="78">
                  <c:v>0.27089120370370373</c:v>
                </c:pt>
                <c:pt idx="79">
                  <c:v>0.27436342592592594</c:v>
                </c:pt>
                <c:pt idx="80">
                  <c:v>0.27783564814814815</c:v>
                </c:pt>
                <c:pt idx="81">
                  <c:v>0.28130787037037036</c:v>
                </c:pt>
                <c:pt idx="82">
                  <c:v>0.28478009259259257</c:v>
                </c:pt>
                <c:pt idx="83">
                  <c:v>0.28825231481481484</c:v>
                </c:pt>
                <c:pt idx="84">
                  <c:v>0.29172453703703705</c:v>
                </c:pt>
                <c:pt idx="85">
                  <c:v>0.29519675925925926</c:v>
                </c:pt>
                <c:pt idx="86">
                  <c:v>0.29866898148148147</c:v>
                </c:pt>
                <c:pt idx="87">
                  <c:v>0.30214120370370373</c:v>
                </c:pt>
                <c:pt idx="88">
                  <c:v>0.30561342592592594</c:v>
                </c:pt>
                <c:pt idx="89">
                  <c:v>0.30908564814814815</c:v>
                </c:pt>
                <c:pt idx="90">
                  <c:v>0.31255787037037036</c:v>
                </c:pt>
                <c:pt idx="91">
                  <c:v>0.31603009259259257</c:v>
                </c:pt>
                <c:pt idx="92">
                  <c:v>0.31950231481481484</c:v>
                </c:pt>
                <c:pt idx="93">
                  <c:v>0.32297453703703705</c:v>
                </c:pt>
                <c:pt idx="94">
                  <c:v>0.32644675925925926</c:v>
                </c:pt>
                <c:pt idx="95">
                  <c:v>0.32991898148148147</c:v>
                </c:pt>
                <c:pt idx="96">
                  <c:v>0.33339120370370373</c:v>
                </c:pt>
                <c:pt idx="97">
                  <c:v>0.33686342592592594</c:v>
                </c:pt>
                <c:pt idx="98">
                  <c:v>0.34033564814814815</c:v>
                </c:pt>
                <c:pt idx="99">
                  <c:v>0.34380787037037036</c:v>
                </c:pt>
                <c:pt idx="100">
                  <c:v>0.34728009259259257</c:v>
                </c:pt>
                <c:pt idx="101">
                  <c:v>0.35075231481481484</c:v>
                </c:pt>
                <c:pt idx="102">
                  <c:v>0.35422453703703705</c:v>
                </c:pt>
                <c:pt idx="103">
                  <c:v>0.35769675925925926</c:v>
                </c:pt>
                <c:pt idx="104">
                  <c:v>0.36116898148148147</c:v>
                </c:pt>
                <c:pt idx="105">
                  <c:v>0.36464120370370373</c:v>
                </c:pt>
                <c:pt idx="106">
                  <c:v>0.36811342592592594</c:v>
                </c:pt>
                <c:pt idx="107">
                  <c:v>0.37158564814814815</c:v>
                </c:pt>
                <c:pt idx="108">
                  <c:v>0.37505787037037036</c:v>
                </c:pt>
                <c:pt idx="109">
                  <c:v>0.37853009259259257</c:v>
                </c:pt>
                <c:pt idx="110">
                  <c:v>0.38200231481481484</c:v>
                </c:pt>
                <c:pt idx="111">
                  <c:v>0.38547453703703705</c:v>
                </c:pt>
                <c:pt idx="112">
                  <c:v>0.38894675925925926</c:v>
                </c:pt>
                <c:pt idx="113">
                  <c:v>0.39241898148148147</c:v>
                </c:pt>
                <c:pt idx="114">
                  <c:v>0.39589120370370373</c:v>
                </c:pt>
                <c:pt idx="115">
                  <c:v>0.39936342592592594</c:v>
                </c:pt>
                <c:pt idx="116">
                  <c:v>0.40283564814814815</c:v>
                </c:pt>
                <c:pt idx="117">
                  <c:v>0.40630787037037036</c:v>
                </c:pt>
                <c:pt idx="118">
                  <c:v>0.40978009259259257</c:v>
                </c:pt>
                <c:pt idx="119">
                  <c:v>0.41325231481481484</c:v>
                </c:pt>
                <c:pt idx="120">
                  <c:v>0.41672453703703705</c:v>
                </c:pt>
                <c:pt idx="121">
                  <c:v>0.42019675925925926</c:v>
                </c:pt>
                <c:pt idx="122">
                  <c:v>0.42366898148148147</c:v>
                </c:pt>
                <c:pt idx="123">
                  <c:v>0.42714120370370373</c:v>
                </c:pt>
                <c:pt idx="124">
                  <c:v>0.43061342592592594</c:v>
                </c:pt>
                <c:pt idx="125">
                  <c:v>0.43408564814814815</c:v>
                </c:pt>
                <c:pt idx="126">
                  <c:v>0.43755787037037036</c:v>
                </c:pt>
                <c:pt idx="127">
                  <c:v>0.44103009259259257</c:v>
                </c:pt>
                <c:pt idx="128">
                  <c:v>0.44450231481481484</c:v>
                </c:pt>
                <c:pt idx="129">
                  <c:v>0.44797453703703705</c:v>
                </c:pt>
                <c:pt idx="130">
                  <c:v>0.45144675925925926</c:v>
                </c:pt>
                <c:pt idx="131">
                  <c:v>0.45491898148148147</c:v>
                </c:pt>
                <c:pt idx="132">
                  <c:v>0.45839120370370373</c:v>
                </c:pt>
                <c:pt idx="133">
                  <c:v>0.46186342592592594</c:v>
                </c:pt>
                <c:pt idx="134">
                  <c:v>0.46533564814814815</c:v>
                </c:pt>
                <c:pt idx="135">
                  <c:v>0.46880787037037036</c:v>
                </c:pt>
                <c:pt idx="136">
                  <c:v>0.47228009259259257</c:v>
                </c:pt>
                <c:pt idx="137">
                  <c:v>0.47575231481481484</c:v>
                </c:pt>
                <c:pt idx="138">
                  <c:v>0.47922453703703705</c:v>
                </c:pt>
                <c:pt idx="139">
                  <c:v>0.48269675925925926</c:v>
                </c:pt>
                <c:pt idx="140">
                  <c:v>0.48616898148148147</c:v>
                </c:pt>
                <c:pt idx="141">
                  <c:v>0.48964120370370373</c:v>
                </c:pt>
                <c:pt idx="142">
                  <c:v>0.49311342592592594</c:v>
                </c:pt>
                <c:pt idx="143">
                  <c:v>0.49658564814814815</c:v>
                </c:pt>
                <c:pt idx="144">
                  <c:v>0.50005787037037042</c:v>
                </c:pt>
                <c:pt idx="145">
                  <c:v>0.50353009259259263</c:v>
                </c:pt>
                <c:pt idx="146">
                  <c:v>0.50700231481481484</c:v>
                </c:pt>
                <c:pt idx="147">
                  <c:v>0.51047453703703705</c:v>
                </c:pt>
                <c:pt idx="148">
                  <c:v>0.51394675925925926</c:v>
                </c:pt>
                <c:pt idx="149">
                  <c:v>0.51741898148148147</c:v>
                </c:pt>
                <c:pt idx="150">
                  <c:v>0.52089120370370368</c:v>
                </c:pt>
                <c:pt idx="151">
                  <c:v>0.52436342592592589</c:v>
                </c:pt>
                <c:pt idx="152">
                  <c:v>0.5278356481481481</c:v>
                </c:pt>
                <c:pt idx="153">
                  <c:v>0.53130787037037042</c:v>
                </c:pt>
                <c:pt idx="154">
                  <c:v>0.53478009259259263</c:v>
                </c:pt>
                <c:pt idx="155">
                  <c:v>0.53825231481481484</c:v>
                </c:pt>
                <c:pt idx="156">
                  <c:v>0.54172453703703705</c:v>
                </c:pt>
                <c:pt idx="157">
                  <c:v>0.54519675925925926</c:v>
                </c:pt>
                <c:pt idx="158">
                  <c:v>0.54866898148148147</c:v>
                </c:pt>
                <c:pt idx="159">
                  <c:v>0.55214120370370368</c:v>
                </c:pt>
                <c:pt idx="160">
                  <c:v>0.55561342592592589</c:v>
                </c:pt>
                <c:pt idx="161">
                  <c:v>0.5590856481481481</c:v>
                </c:pt>
                <c:pt idx="162">
                  <c:v>0.56255787037037042</c:v>
                </c:pt>
                <c:pt idx="163">
                  <c:v>0.56603009259259263</c:v>
                </c:pt>
                <c:pt idx="164">
                  <c:v>0.56950231481481484</c:v>
                </c:pt>
                <c:pt idx="165">
                  <c:v>0.57297453703703705</c:v>
                </c:pt>
                <c:pt idx="166">
                  <c:v>0.57644675925925926</c:v>
                </c:pt>
                <c:pt idx="167">
                  <c:v>0.57991898148148147</c:v>
                </c:pt>
                <c:pt idx="168">
                  <c:v>0.58339120370370368</c:v>
                </c:pt>
                <c:pt idx="169">
                  <c:v>0.58686342592592589</c:v>
                </c:pt>
                <c:pt idx="170">
                  <c:v>0.5903356481481481</c:v>
                </c:pt>
                <c:pt idx="171">
                  <c:v>0.59380787037037042</c:v>
                </c:pt>
                <c:pt idx="172">
                  <c:v>0.59728009259259263</c:v>
                </c:pt>
                <c:pt idx="173">
                  <c:v>0.60075231481481484</c:v>
                </c:pt>
                <c:pt idx="174">
                  <c:v>0.60422453703703705</c:v>
                </c:pt>
                <c:pt idx="175">
                  <c:v>0.60769675925925926</c:v>
                </c:pt>
                <c:pt idx="176">
                  <c:v>0.61116898148148147</c:v>
                </c:pt>
                <c:pt idx="177">
                  <c:v>0.61464120370370368</c:v>
                </c:pt>
                <c:pt idx="178">
                  <c:v>0.61811342592592589</c:v>
                </c:pt>
                <c:pt idx="179">
                  <c:v>0.6215856481481481</c:v>
                </c:pt>
                <c:pt idx="180">
                  <c:v>0.62505787037037042</c:v>
                </c:pt>
                <c:pt idx="181">
                  <c:v>0.62853009259259263</c:v>
                </c:pt>
                <c:pt idx="182">
                  <c:v>0.63200231481481484</c:v>
                </c:pt>
                <c:pt idx="183">
                  <c:v>0.63547453703703705</c:v>
                </c:pt>
                <c:pt idx="184">
                  <c:v>0.63894675925925926</c:v>
                </c:pt>
                <c:pt idx="185">
                  <c:v>0.64241898148148147</c:v>
                </c:pt>
                <c:pt idx="186">
                  <c:v>0.64589120370370368</c:v>
                </c:pt>
                <c:pt idx="187">
                  <c:v>0.64936342592592589</c:v>
                </c:pt>
                <c:pt idx="188">
                  <c:v>0.6528356481481481</c:v>
                </c:pt>
                <c:pt idx="189">
                  <c:v>0.65630787037037042</c:v>
                </c:pt>
                <c:pt idx="190">
                  <c:v>0.65978009259259263</c:v>
                </c:pt>
                <c:pt idx="191">
                  <c:v>0.66325231481481484</c:v>
                </c:pt>
                <c:pt idx="192">
                  <c:v>0.66672453703703705</c:v>
                </c:pt>
                <c:pt idx="193">
                  <c:v>0.67019675925925926</c:v>
                </c:pt>
                <c:pt idx="194">
                  <c:v>0.67366898148148147</c:v>
                </c:pt>
                <c:pt idx="195">
                  <c:v>0.67714120370370368</c:v>
                </c:pt>
                <c:pt idx="196">
                  <c:v>0.68061342592592589</c:v>
                </c:pt>
                <c:pt idx="197">
                  <c:v>0.6840856481481481</c:v>
                </c:pt>
                <c:pt idx="198">
                  <c:v>0.68755787037037042</c:v>
                </c:pt>
                <c:pt idx="199">
                  <c:v>0.69103009259259263</c:v>
                </c:pt>
                <c:pt idx="200">
                  <c:v>0.69450231481481484</c:v>
                </c:pt>
                <c:pt idx="201">
                  <c:v>0.69797453703703705</c:v>
                </c:pt>
                <c:pt idx="202">
                  <c:v>0.70144675925925926</c:v>
                </c:pt>
                <c:pt idx="203">
                  <c:v>0.70491898148148147</c:v>
                </c:pt>
                <c:pt idx="204">
                  <c:v>0.70839120370370368</c:v>
                </c:pt>
                <c:pt idx="205">
                  <c:v>0.71186342592592589</c:v>
                </c:pt>
                <c:pt idx="206">
                  <c:v>0.7153356481481481</c:v>
                </c:pt>
                <c:pt idx="207">
                  <c:v>0.71880787037037042</c:v>
                </c:pt>
                <c:pt idx="208">
                  <c:v>0.72228009259259263</c:v>
                </c:pt>
                <c:pt idx="209">
                  <c:v>0.72575231481481484</c:v>
                </c:pt>
                <c:pt idx="210">
                  <c:v>0.72922453703703705</c:v>
                </c:pt>
                <c:pt idx="211">
                  <c:v>0.73269675925925926</c:v>
                </c:pt>
                <c:pt idx="212">
                  <c:v>0.73616898148148147</c:v>
                </c:pt>
                <c:pt idx="213">
                  <c:v>0.73964120370370368</c:v>
                </c:pt>
                <c:pt idx="214">
                  <c:v>0.74311342592592589</c:v>
                </c:pt>
                <c:pt idx="215">
                  <c:v>0.7465856481481481</c:v>
                </c:pt>
                <c:pt idx="216">
                  <c:v>0.75005787037037042</c:v>
                </c:pt>
                <c:pt idx="217">
                  <c:v>0.75353009259259263</c:v>
                </c:pt>
                <c:pt idx="218">
                  <c:v>0.75700231481481484</c:v>
                </c:pt>
                <c:pt idx="219">
                  <c:v>0.76047453703703705</c:v>
                </c:pt>
                <c:pt idx="220">
                  <c:v>0.76394675925925926</c:v>
                </c:pt>
                <c:pt idx="221">
                  <c:v>0.76741898148148147</c:v>
                </c:pt>
                <c:pt idx="222">
                  <c:v>0.77089120370370368</c:v>
                </c:pt>
                <c:pt idx="223">
                  <c:v>0.77436342592592589</c:v>
                </c:pt>
                <c:pt idx="224">
                  <c:v>0.7778356481481481</c:v>
                </c:pt>
                <c:pt idx="225">
                  <c:v>0.78130787037037042</c:v>
                </c:pt>
                <c:pt idx="226">
                  <c:v>0.78478009259259263</c:v>
                </c:pt>
                <c:pt idx="227">
                  <c:v>0.78825231481481484</c:v>
                </c:pt>
                <c:pt idx="228">
                  <c:v>0.79172453703703705</c:v>
                </c:pt>
                <c:pt idx="229">
                  <c:v>0.79519675925925926</c:v>
                </c:pt>
                <c:pt idx="230">
                  <c:v>0.79866898148148147</c:v>
                </c:pt>
                <c:pt idx="231">
                  <c:v>0.80214120370370368</c:v>
                </c:pt>
                <c:pt idx="232">
                  <c:v>0.80561342592592589</c:v>
                </c:pt>
                <c:pt idx="233">
                  <c:v>0.8090856481481481</c:v>
                </c:pt>
                <c:pt idx="234">
                  <c:v>0.81255787037037042</c:v>
                </c:pt>
                <c:pt idx="235">
                  <c:v>0.81603009259259263</c:v>
                </c:pt>
                <c:pt idx="236">
                  <c:v>0.81950231481481484</c:v>
                </c:pt>
                <c:pt idx="237">
                  <c:v>0.82297453703703705</c:v>
                </c:pt>
                <c:pt idx="238">
                  <c:v>0.82644675925925926</c:v>
                </c:pt>
                <c:pt idx="239">
                  <c:v>0.82991898148148147</c:v>
                </c:pt>
                <c:pt idx="240">
                  <c:v>0.83339120370370368</c:v>
                </c:pt>
                <c:pt idx="241">
                  <c:v>0.83686342592592589</c:v>
                </c:pt>
                <c:pt idx="242">
                  <c:v>0.8403356481481481</c:v>
                </c:pt>
                <c:pt idx="243">
                  <c:v>0.84380787037037042</c:v>
                </c:pt>
                <c:pt idx="244">
                  <c:v>0.84728009259259263</c:v>
                </c:pt>
                <c:pt idx="245">
                  <c:v>0.85075231481481484</c:v>
                </c:pt>
                <c:pt idx="246">
                  <c:v>0.85422453703703705</c:v>
                </c:pt>
                <c:pt idx="247">
                  <c:v>0.85769675925925926</c:v>
                </c:pt>
                <c:pt idx="248">
                  <c:v>0.86116898148148147</c:v>
                </c:pt>
                <c:pt idx="249">
                  <c:v>0.86464120370370368</c:v>
                </c:pt>
                <c:pt idx="250">
                  <c:v>0.86811342592592589</c:v>
                </c:pt>
                <c:pt idx="251">
                  <c:v>0.8715856481481481</c:v>
                </c:pt>
                <c:pt idx="252">
                  <c:v>0.87505787037037042</c:v>
                </c:pt>
                <c:pt idx="253">
                  <c:v>0.87853009259259263</c:v>
                </c:pt>
                <c:pt idx="254">
                  <c:v>0.88200231481481484</c:v>
                </c:pt>
                <c:pt idx="255">
                  <c:v>0.88547453703703705</c:v>
                </c:pt>
                <c:pt idx="256">
                  <c:v>0.88894675925925926</c:v>
                </c:pt>
                <c:pt idx="257">
                  <c:v>0.89241898148148147</c:v>
                </c:pt>
                <c:pt idx="258">
                  <c:v>0.89589120370370368</c:v>
                </c:pt>
                <c:pt idx="259">
                  <c:v>0.89936342592592589</c:v>
                </c:pt>
                <c:pt idx="260">
                  <c:v>0.9028356481481481</c:v>
                </c:pt>
                <c:pt idx="261">
                  <c:v>0.90630787037037042</c:v>
                </c:pt>
                <c:pt idx="262">
                  <c:v>0.90978009259259263</c:v>
                </c:pt>
                <c:pt idx="263">
                  <c:v>0.91325231481481484</c:v>
                </c:pt>
                <c:pt idx="264">
                  <c:v>0.91672453703703705</c:v>
                </c:pt>
                <c:pt idx="265">
                  <c:v>0.92019675925925926</c:v>
                </c:pt>
                <c:pt idx="266">
                  <c:v>0.92366898148148147</c:v>
                </c:pt>
                <c:pt idx="267">
                  <c:v>0.92714120370370368</c:v>
                </c:pt>
                <c:pt idx="268">
                  <c:v>0.93061342592592589</c:v>
                </c:pt>
                <c:pt idx="269">
                  <c:v>0.9340856481481481</c:v>
                </c:pt>
                <c:pt idx="270">
                  <c:v>0.93755787037037042</c:v>
                </c:pt>
                <c:pt idx="271">
                  <c:v>0.94103009259259263</c:v>
                </c:pt>
                <c:pt idx="272">
                  <c:v>0.94450231481481484</c:v>
                </c:pt>
                <c:pt idx="273">
                  <c:v>0.94797453703703705</c:v>
                </c:pt>
                <c:pt idx="274">
                  <c:v>0.95144675925925926</c:v>
                </c:pt>
                <c:pt idx="275">
                  <c:v>0.95491898148148147</c:v>
                </c:pt>
                <c:pt idx="276">
                  <c:v>0.95839120370370368</c:v>
                </c:pt>
                <c:pt idx="277">
                  <c:v>0.96186342592592589</c:v>
                </c:pt>
                <c:pt idx="278">
                  <c:v>0.9653356481481481</c:v>
                </c:pt>
                <c:pt idx="279">
                  <c:v>0.96880787037037042</c:v>
                </c:pt>
                <c:pt idx="280">
                  <c:v>0.97228009259259263</c:v>
                </c:pt>
                <c:pt idx="281">
                  <c:v>0.97575231481481484</c:v>
                </c:pt>
                <c:pt idx="282">
                  <c:v>0.97922453703703705</c:v>
                </c:pt>
                <c:pt idx="283">
                  <c:v>0.98269675925925926</c:v>
                </c:pt>
                <c:pt idx="284">
                  <c:v>0.98616898148148147</c:v>
                </c:pt>
                <c:pt idx="285">
                  <c:v>0.98964120370370368</c:v>
                </c:pt>
                <c:pt idx="286">
                  <c:v>0.99311342592592589</c:v>
                </c:pt>
                <c:pt idx="287">
                  <c:v>0.9965856481481481</c:v>
                </c:pt>
              </c:numCache>
            </c:numRef>
          </c:xVal>
          <c:yVal>
            <c:numRef>
              <c:f>[1]Sheet1!$H$3:$H$290</c:f>
              <c:numCache>
                <c:formatCode>General</c:formatCode>
                <c:ptCount val="288"/>
                <c:pt idx="0">
                  <c:v>286.5</c:v>
                </c:pt>
                <c:pt idx="1">
                  <c:v>296.10000000000002</c:v>
                </c:pt>
                <c:pt idx="2">
                  <c:v>282.89999999999998</c:v>
                </c:pt>
                <c:pt idx="3">
                  <c:v>286.60000000000002</c:v>
                </c:pt>
                <c:pt idx="4">
                  <c:v>286.7</c:v>
                </c:pt>
                <c:pt idx="5">
                  <c:v>281.89999999999998</c:v>
                </c:pt>
                <c:pt idx="6">
                  <c:v>281.3</c:v>
                </c:pt>
                <c:pt idx="7">
                  <c:v>276.8</c:v>
                </c:pt>
                <c:pt idx="8">
                  <c:v>281.39999999999998</c:v>
                </c:pt>
                <c:pt idx="9">
                  <c:v>284.3</c:v>
                </c:pt>
                <c:pt idx="10">
                  <c:v>277.10000000000002</c:v>
                </c:pt>
                <c:pt idx="11">
                  <c:v>278.39999999999998</c:v>
                </c:pt>
                <c:pt idx="12">
                  <c:v>282.7</c:v>
                </c:pt>
                <c:pt idx="13">
                  <c:v>282.5</c:v>
                </c:pt>
                <c:pt idx="14">
                  <c:v>274.2</c:v>
                </c:pt>
                <c:pt idx="15">
                  <c:v>274.10000000000002</c:v>
                </c:pt>
                <c:pt idx="16">
                  <c:v>277.8</c:v>
                </c:pt>
                <c:pt idx="17">
                  <c:v>281.10000000000002</c:v>
                </c:pt>
                <c:pt idx="18">
                  <c:v>282.5</c:v>
                </c:pt>
                <c:pt idx="19">
                  <c:v>284</c:v>
                </c:pt>
                <c:pt idx="20">
                  <c:v>277.7</c:v>
                </c:pt>
                <c:pt idx="21">
                  <c:v>281</c:v>
                </c:pt>
                <c:pt idx="22">
                  <c:v>281.2</c:v>
                </c:pt>
                <c:pt idx="23">
                  <c:v>278.2</c:v>
                </c:pt>
                <c:pt idx="24">
                  <c:v>276.3</c:v>
                </c:pt>
                <c:pt idx="25">
                  <c:v>279.2</c:v>
                </c:pt>
                <c:pt idx="26">
                  <c:v>284.10000000000002</c:v>
                </c:pt>
                <c:pt idx="27">
                  <c:v>279</c:v>
                </c:pt>
                <c:pt idx="28">
                  <c:v>280.60000000000002</c:v>
                </c:pt>
                <c:pt idx="29">
                  <c:v>278</c:v>
                </c:pt>
                <c:pt idx="30">
                  <c:v>281.8</c:v>
                </c:pt>
                <c:pt idx="31">
                  <c:v>287</c:v>
                </c:pt>
                <c:pt idx="32">
                  <c:v>296.89999999999998</c:v>
                </c:pt>
                <c:pt idx="33">
                  <c:v>301.8</c:v>
                </c:pt>
                <c:pt idx="34">
                  <c:v>305.60000000000002</c:v>
                </c:pt>
                <c:pt idx="35">
                  <c:v>300</c:v>
                </c:pt>
                <c:pt idx="36">
                  <c:v>311.2</c:v>
                </c:pt>
                <c:pt idx="37">
                  <c:v>314</c:v>
                </c:pt>
                <c:pt idx="38">
                  <c:v>323</c:v>
                </c:pt>
                <c:pt idx="39">
                  <c:v>317.2</c:v>
                </c:pt>
                <c:pt idx="40">
                  <c:v>317.60000000000002</c:v>
                </c:pt>
                <c:pt idx="41">
                  <c:v>311.60000000000002</c:v>
                </c:pt>
                <c:pt idx="42">
                  <c:v>337.2</c:v>
                </c:pt>
                <c:pt idx="43">
                  <c:v>354.5</c:v>
                </c:pt>
                <c:pt idx="44">
                  <c:v>361.3</c:v>
                </c:pt>
                <c:pt idx="45">
                  <c:v>352.7</c:v>
                </c:pt>
                <c:pt idx="46">
                  <c:v>345.2</c:v>
                </c:pt>
                <c:pt idx="47">
                  <c:v>343.4</c:v>
                </c:pt>
                <c:pt idx="48">
                  <c:v>353.8</c:v>
                </c:pt>
                <c:pt idx="49">
                  <c:v>347</c:v>
                </c:pt>
                <c:pt idx="50">
                  <c:v>348.8</c:v>
                </c:pt>
                <c:pt idx="51">
                  <c:v>347.4</c:v>
                </c:pt>
                <c:pt idx="52">
                  <c:v>349.4</c:v>
                </c:pt>
                <c:pt idx="53">
                  <c:v>349</c:v>
                </c:pt>
                <c:pt idx="54">
                  <c:v>353.2</c:v>
                </c:pt>
                <c:pt idx="55">
                  <c:v>350.9</c:v>
                </c:pt>
                <c:pt idx="56">
                  <c:v>348.6</c:v>
                </c:pt>
                <c:pt idx="57">
                  <c:v>348.3</c:v>
                </c:pt>
                <c:pt idx="58">
                  <c:v>348</c:v>
                </c:pt>
                <c:pt idx="59">
                  <c:v>351.3</c:v>
                </c:pt>
                <c:pt idx="60">
                  <c:v>354.9</c:v>
                </c:pt>
                <c:pt idx="61">
                  <c:v>350.1</c:v>
                </c:pt>
                <c:pt idx="62">
                  <c:v>350.6</c:v>
                </c:pt>
                <c:pt idx="63">
                  <c:v>357.4</c:v>
                </c:pt>
                <c:pt idx="64">
                  <c:v>353.9</c:v>
                </c:pt>
                <c:pt idx="65">
                  <c:v>342.9</c:v>
                </c:pt>
                <c:pt idx="66">
                  <c:v>344.6</c:v>
                </c:pt>
                <c:pt idx="67">
                  <c:v>353.1</c:v>
                </c:pt>
                <c:pt idx="68">
                  <c:v>348.9</c:v>
                </c:pt>
                <c:pt idx="69">
                  <c:v>345.4</c:v>
                </c:pt>
                <c:pt idx="70">
                  <c:v>344.9</c:v>
                </c:pt>
                <c:pt idx="71">
                  <c:v>339.1</c:v>
                </c:pt>
                <c:pt idx="72">
                  <c:v>329.6</c:v>
                </c:pt>
                <c:pt idx="73">
                  <c:v>346.1</c:v>
                </c:pt>
                <c:pt idx="74">
                  <c:v>343</c:v>
                </c:pt>
                <c:pt idx="75">
                  <c:v>342.6</c:v>
                </c:pt>
                <c:pt idx="76">
                  <c:v>344.7</c:v>
                </c:pt>
                <c:pt idx="77">
                  <c:v>355.4</c:v>
                </c:pt>
                <c:pt idx="78">
                  <c:v>354.2</c:v>
                </c:pt>
                <c:pt idx="79">
                  <c:v>357.1</c:v>
                </c:pt>
                <c:pt idx="80">
                  <c:v>352.9</c:v>
                </c:pt>
                <c:pt idx="81">
                  <c:v>360.8</c:v>
                </c:pt>
                <c:pt idx="82">
                  <c:v>360.4</c:v>
                </c:pt>
                <c:pt idx="83">
                  <c:v>371.6</c:v>
                </c:pt>
                <c:pt idx="84">
                  <c:v>371.2</c:v>
                </c:pt>
                <c:pt idx="85">
                  <c:v>369.4</c:v>
                </c:pt>
                <c:pt idx="86">
                  <c:v>365.7</c:v>
                </c:pt>
                <c:pt idx="87">
                  <c:v>373.7</c:v>
                </c:pt>
                <c:pt idx="88">
                  <c:v>372.6</c:v>
                </c:pt>
                <c:pt idx="89">
                  <c:v>374.2</c:v>
                </c:pt>
                <c:pt idx="90">
                  <c:v>381.5</c:v>
                </c:pt>
                <c:pt idx="91">
                  <c:v>383.7</c:v>
                </c:pt>
                <c:pt idx="92">
                  <c:v>378.1</c:v>
                </c:pt>
                <c:pt idx="93">
                  <c:v>377</c:v>
                </c:pt>
                <c:pt idx="94">
                  <c:v>373</c:v>
                </c:pt>
                <c:pt idx="95">
                  <c:v>371.7</c:v>
                </c:pt>
                <c:pt idx="96">
                  <c:v>361.9</c:v>
                </c:pt>
                <c:pt idx="97">
                  <c:v>363.8</c:v>
                </c:pt>
                <c:pt idx="98">
                  <c:v>367.3</c:v>
                </c:pt>
                <c:pt idx="99">
                  <c:v>367.7</c:v>
                </c:pt>
                <c:pt idx="100">
                  <c:v>366.9</c:v>
                </c:pt>
                <c:pt idx="101">
                  <c:v>358.2</c:v>
                </c:pt>
                <c:pt idx="102">
                  <c:v>368.7</c:v>
                </c:pt>
                <c:pt idx="103">
                  <c:v>371.2</c:v>
                </c:pt>
                <c:pt idx="104">
                  <c:v>356.6</c:v>
                </c:pt>
                <c:pt idx="105">
                  <c:v>366.8</c:v>
                </c:pt>
                <c:pt idx="106">
                  <c:v>356.9</c:v>
                </c:pt>
                <c:pt idx="107">
                  <c:v>368.4</c:v>
                </c:pt>
                <c:pt idx="108">
                  <c:v>370.2</c:v>
                </c:pt>
                <c:pt idx="109">
                  <c:v>361.3</c:v>
                </c:pt>
                <c:pt idx="110">
                  <c:v>351.8</c:v>
                </c:pt>
                <c:pt idx="111">
                  <c:v>361.7</c:v>
                </c:pt>
                <c:pt idx="112">
                  <c:v>352.9</c:v>
                </c:pt>
                <c:pt idx="113">
                  <c:v>346.7</c:v>
                </c:pt>
                <c:pt idx="114">
                  <c:v>354.1</c:v>
                </c:pt>
                <c:pt idx="115">
                  <c:v>352.4</c:v>
                </c:pt>
                <c:pt idx="116">
                  <c:v>352</c:v>
                </c:pt>
                <c:pt idx="117">
                  <c:v>339.1</c:v>
                </c:pt>
                <c:pt idx="118">
                  <c:v>351.7</c:v>
                </c:pt>
                <c:pt idx="119">
                  <c:v>339.1</c:v>
                </c:pt>
                <c:pt idx="120">
                  <c:v>350</c:v>
                </c:pt>
                <c:pt idx="121">
                  <c:v>342.3</c:v>
                </c:pt>
                <c:pt idx="122">
                  <c:v>342.9</c:v>
                </c:pt>
                <c:pt idx="123">
                  <c:v>352.7</c:v>
                </c:pt>
                <c:pt idx="124">
                  <c:v>339.8</c:v>
                </c:pt>
                <c:pt idx="125">
                  <c:v>345.2</c:v>
                </c:pt>
                <c:pt idx="126">
                  <c:v>339.5</c:v>
                </c:pt>
                <c:pt idx="127">
                  <c:v>343.5</c:v>
                </c:pt>
                <c:pt idx="128">
                  <c:v>339.5</c:v>
                </c:pt>
                <c:pt idx="129">
                  <c:v>339.4</c:v>
                </c:pt>
                <c:pt idx="130">
                  <c:v>336.4</c:v>
                </c:pt>
                <c:pt idx="131">
                  <c:v>334.4</c:v>
                </c:pt>
                <c:pt idx="132">
                  <c:v>334</c:v>
                </c:pt>
                <c:pt idx="133">
                  <c:v>325</c:v>
                </c:pt>
                <c:pt idx="134">
                  <c:v>329.6</c:v>
                </c:pt>
                <c:pt idx="135">
                  <c:v>331.3</c:v>
                </c:pt>
                <c:pt idx="136">
                  <c:v>320.8</c:v>
                </c:pt>
                <c:pt idx="137">
                  <c:v>323</c:v>
                </c:pt>
                <c:pt idx="138">
                  <c:v>320.7</c:v>
                </c:pt>
                <c:pt idx="139">
                  <c:v>324.7</c:v>
                </c:pt>
                <c:pt idx="140">
                  <c:v>313.60000000000002</c:v>
                </c:pt>
                <c:pt idx="141">
                  <c:v>309.5</c:v>
                </c:pt>
                <c:pt idx="142">
                  <c:v>309.5</c:v>
                </c:pt>
                <c:pt idx="143">
                  <c:v>302.39999999999998</c:v>
                </c:pt>
                <c:pt idx="144">
                  <c:v>304.5</c:v>
                </c:pt>
                <c:pt idx="145">
                  <c:v>295.60000000000002</c:v>
                </c:pt>
                <c:pt idx="146">
                  <c:v>288.10000000000002</c:v>
                </c:pt>
                <c:pt idx="147">
                  <c:v>287.5</c:v>
                </c:pt>
                <c:pt idx="148">
                  <c:v>280.10000000000002</c:v>
                </c:pt>
                <c:pt idx="149">
                  <c:v>276.7</c:v>
                </c:pt>
                <c:pt idx="150">
                  <c:v>272.7</c:v>
                </c:pt>
                <c:pt idx="151">
                  <c:v>272.8</c:v>
                </c:pt>
                <c:pt idx="152">
                  <c:v>258.7</c:v>
                </c:pt>
                <c:pt idx="153">
                  <c:v>260.89999999999998</c:v>
                </c:pt>
                <c:pt idx="154">
                  <c:v>265.3</c:v>
                </c:pt>
                <c:pt idx="155">
                  <c:v>271.10000000000002</c:v>
                </c:pt>
                <c:pt idx="156">
                  <c:v>269</c:v>
                </c:pt>
                <c:pt idx="157">
                  <c:v>264.5</c:v>
                </c:pt>
                <c:pt idx="158">
                  <c:v>262.39999999999998</c:v>
                </c:pt>
                <c:pt idx="159">
                  <c:v>267</c:v>
                </c:pt>
                <c:pt idx="160">
                  <c:v>270</c:v>
                </c:pt>
                <c:pt idx="161">
                  <c:v>260.10000000000002</c:v>
                </c:pt>
                <c:pt idx="162">
                  <c:v>251.6</c:v>
                </c:pt>
                <c:pt idx="163">
                  <c:v>258.2</c:v>
                </c:pt>
                <c:pt idx="164">
                  <c:v>255.6</c:v>
                </c:pt>
                <c:pt idx="165">
                  <c:v>243.6</c:v>
                </c:pt>
                <c:pt idx="166">
                  <c:v>250.6</c:v>
                </c:pt>
                <c:pt idx="167">
                  <c:v>264.3</c:v>
                </c:pt>
                <c:pt idx="168">
                  <c:v>263</c:v>
                </c:pt>
                <c:pt idx="169">
                  <c:v>258.2</c:v>
                </c:pt>
                <c:pt idx="170">
                  <c:v>253.2</c:v>
                </c:pt>
                <c:pt idx="171">
                  <c:v>246.7</c:v>
                </c:pt>
                <c:pt idx="172">
                  <c:v>249.7</c:v>
                </c:pt>
                <c:pt idx="173">
                  <c:v>254.8</c:v>
                </c:pt>
                <c:pt idx="174">
                  <c:v>249.8</c:v>
                </c:pt>
                <c:pt idx="175">
                  <c:v>253</c:v>
                </c:pt>
                <c:pt idx="176">
                  <c:v>252</c:v>
                </c:pt>
                <c:pt idx="177">
                  <c:v>265.7</c:v>
                </c:pt>
                <c:pt idx="178">
                  <c:v>275.60000000000002</c:v>
                </c:pt>
                <c:pt idx="179">
                  <c:v>279.7</c:v>
                </c:pt>
                <c:pt idx="180">
                  <c:v>275.5</c:v>
                </c:pt>
                <c:pt idx="181">
                  <c:v>277.7</c:v>
                </c:pt>
                <c:pt idx="182">
                  <c:v>279.2</c:v>
                </c:pt>
                <c:pt idx="183">
                  <c:v>270.8</c:v>
                </c:pt>
                <c:pt idx="184">
                  <c:v>263.5</c:v>
                </c:pt>
                <c:pt idx="185">
                  <c:v>265.8</c:v>
                </c:pt>
                <c:pt idx="186">
                  <c:v>283.60000000000002</c:v>
                </c:pt>
                <c:pt idx="187">
                  <c:v>286</c:v>
                </c:pt>
                <c:pt idx="188">
                  <c:v>298.10000000000002</c:v>
                </c:pt>
                <c:pt idx="189">
                  <c:v>295.5</c:v>
                </c:pt>
                <c:pt idx="190">
                  <c:v>297.2</c:v>
                </c:pt>
                <c:pt idx="191">
                  <c:v>292.7</c:v>
                </c:pt>
                <c:pt idx="192">
                  <c:v>295.60000000000002</c:v>
                </c:pt>
                <c:pt idx="193">
                  <c:v>299.7</c:v>
                </c:pt>
                <c:pt idx="194">
                  <c:v>296.39999999999998</c:v>
                </c:pt>
                <c:pt idx="195">
                  <c:v>293</c:v>
                </c:pt>
                <c:pt idx="196">
                  <c:v>288.3</c:v>
                </c:pt>
                <c:pt idx="197">
                  <c:v>284.5</c:v>
                </c:pt>
                <c:pt idx="198">
                  <c:v>280.7</c:v>
                </c:pt>
                <c:pt idx="199">
                  <c:v>285</c:v>
                </c:pt>
                <c:pt idx="200">
                  <c:v>298.60000000000002</c:v>
                </c:pt>
                <c:pt idx="201">
                  <c:v>287.8</c:v>
                </c:pt>
                <c:pt idx="202">
                  <c:v>286.5</c:v>
                </c:pt>
                <c:pt idx="203">
                  <c:v>279.3</c:v>
                </c:pt>
                <c:pt idx="204">
                  <c:v>283.8</c:v>
                </c:pt>
                <c:pt idx="205">
                  <c:v>296.8</c:v>
                </c:pt>
                <c:pt idx="206">
                  <c:v>289.10000000000002</c:v>
                </c:pt>
                <c:pt idx="207">
                  <c:v>300.3</c:v>
                </c:pt>
                <c:pt idx="208">
                  <c:v>291.89999999999998</c:v>
                </c:pt>
                <c:pt idx="209">
                  <c:v>288.89999999999998</c:v>
                </c:pt>
                <c:pt idx="210">
                  <c:v>300.39999999999998</c:v>
                </c:pt>
                <c:pt idx="211">
                  <c:v>295.8</c:v>
                </c:pt>
                <c:pt idx="212">
                  <c:v>289.39999999999998</c:v>
                </c:pt>
                <c:pt idx="213">
                  <c:v>292</c:v>
                </c:pt>
                <c:pt idx="214">
                  <c:v>300.7</c:v>
                </c:pt>
                <c:pt idx="215">
                  <c:v>290.89999999999998</c:v>
                </c:pt>
                <c:pt idx="216">
                  <c:v>307.39999999999998</c:v>
                </c:pt>
                <c:pt idx="217">
                  <c:v>304.7</c:v>
                </c:pt>
                <c:pt idx="218">
                  <c:v>292.8</c:v>
                </c:pt>
                <c:pt idx="219">
                  <c:v>302.3</c:v>
                </c:pt>
                <c:pt idx="220">
                  <c:v>313.60000000000002</c:v>
                </c:pt>
                <c:pt idx="221">
                  <c:v>308.7</c:v>
                </c:pt>
                <c:pt idx="222">
                  <c:v>300</c:v>
                </c:pt>
                <c:pt idx="223">
                  <c:v>291.7</c:v>
                </c:pt>
                <c:pt idx="224">
                  <c:v>302.39999999999998</c:v>
                </c:pt>
                <c:pt idx="225">
                  <c:v>303.7</c:v>
                </c:pt>
                <c:pt idx="226">
                  <c:v>301</c:v>
                </c:pt>
                <c:pt idx="227">
                  <c:v>306.2</c:v>
                </c:pt>
                <c:pt idx="228">
                  <c:v>298.3</c:v>
                </c:pt>
                <c:pt idx="229">
                  <c:v>284.89999999999998</c:v>
                </c:pt>
                <c:pt idx="230">
                  <c:v>291.39999999999998</c:v>
                </c:pt>
                <c:pt idx="231">
                  <c:v>293.8</c:v>
                </c:pt>
                <c:pt idx="232">
                  <c:v>292.5</c:v>
                </c:pt>
                <c:pt idx="233">
                  <c:v>302.39999999999998</c:v>
                </c:pt>
                <c:pt idx="234">
                  <c:v>286.60000000000002</c:v>
                </c:pt>
                <c:pt idx="235">
                  <c:v>285.89999999999998</c:v>
                </c:pt>
                <c:pt idx="236">
                  <c:v>276.5</c:v>
                </c:pt>
                <c:pt idx="237">
                  <c:v>288</c:v>
                </c:pt>
                <c:pt idx="238">
                  <c:v>286.5</c:v>
                </c:pt>
                <c:pt idx="239">
                  <c:v>278.89999999999998</c:v>
                </c:pt>
                <c:pt idx="240">
                  <c:v>275.89999999999998</c:v>
                </c:pt>
                <c:pt idx="241">
                  <c:v>270.60000000000002</c:v>
                </c:pt>
                <c:pt idx="242">
                  <c:v>280.7</c:v>
                </c:pt>
                <c:pt idx="243">
                  <c:v>276.10000000000002</c:v>
                </c:pt>
                <c:pt idx="244">
                  <c:v>273.10000000000002</c:v>
                </c:pt>
                <c:pt idx="245">
                  <c:v>275.7</c:v>
                </c:pt>
                <c:pt idx="246">
                  <c:v>279.2</c:v>
                </c:pt>
                <c:pt idx="247">
                  <c:v>299.5</c:v>
                </c:pt>
                <c:pt idx="248">
                  <c:v>290.89999999999998</c:v>
                </c:pt>
                <c:pt idx="249">
                  <c:v>285.8</c:v>
                </c:pt>
                <c:pt idx="250">
                  <c:v>278.89999999999998</c:v>
                </c:pt>
                <c:pt idx="251">
                  <c:v>281</c:v>
                </c:pt>
                <c:pt idx="252">
                  <c:v>288.8</c:v>
                </c:pt>
                <c:pt idx="253">
                  <c:v>279.89999999999998</c:v>
                </c:pt>
                <c:pt idx="254">
                  <c:v>281</c:v>
                </c:pt>
                <c:pt idx="255">
                  <c:v>277.39999999999998</c:v>
                </c:pt>
                <c:pt idx="256">
                  <c:v>277</c:v>
                </c:pt>
                <c:pt idx="257">
                  <c:v>271.5</c:v>
                </c:pt>
                <c:pt idx="258">
                  <c:v>276.89999999999998</c:v>
                </c:pt>
                <c:pt idx="259">
                  <c:v>280.3</c:v>
                </c:pt>
                <c:pt idx="260">
                  <c:v>276.10000000000002</c:v>
                </c:pt>
                <c:pt idx="261">
                  <c:v>272.7</c:v>
                </c:pt>
                <c:pt idx="262">
                  <c:v>278.7</c:v>
                </c:pt>
                <c:pt idx="263">
                  <c:v>278.5</c:v>
                </c:pt>
                <c:pt idx="264">
                  <c:v>278.10000000000002</c:v>
                </c:pt>
                <c:pt idx="265">
                  <c:v>279.10000000000002</c:v>
                </c:pt>
                <c:pt idx="266">
                  <c:v>283.60000000000002</c:v>
                </c:pt>
                <c:pt idx="267">
                  <c:v>279.8</c:v>
                </c:pt>
                <c:pt idx="268">
                  <c:v>276.7</c:v>
                </c:pt>
                <c:pt idx="269">
                  <c:v>282.2</c:v>
                </c:pt>
                <c:pt idx="270">
                  <c:v>280.10000000000002</c:v>
                </c:pt>
                <c:pt idx="271">
                  <c:v>274.5</c:v>
                </c:pt>
                <c:pt idx="272">
                  <c:v>280.10000000000002</c:v>
                </c:pt>
                <c:pt idx="273">
                  <c:v>276.2</c:v>
                </c:pt>
                <c:pt idx="274">
                  <c:v>282.5</c:v>
                </c:pt>
                <c:pt idx="275">
                  <c:v>279.39999999999998</c:v>
                </c:pt>
                <c:pt idx="276">
                  <c:v>283.2</c:v>
                </c:pt>
                <c:pt idx="277">
                  <c:v>286.39999999999998</c:v>
                </c:pt>
                <c:pt idx="278">
                  <c:v>278</c:v>
                </c:pt>
                <c:pt idx="279">
                  <c:v>280.3</c:v>
                </c:pt>
                <c:pt idx="280">
                  <c:v>282.89999999999998</c:v>
                </c:pt>
                <c:pt idx="281">
                  <c:v>279.10000000000002</c:v>
                </c:pt>
                <c:pt idx="282">
                  <c:v>289.3</c:v>
                </c:pt>
                <c:pt idx="283">
                  <c:v>284.39999999999998</c:v>
                </c:pt>
                <c:pt idx="284">
                  <c:v>284.2</c:v>
                </c:pt>
                <c:pt idx="285">
                  <c:v>281.39999999999998</c:v>
                </c:pt>
                <c:pt idx="286">
                  <c:v>273.39999999999998</c:v>
                </c:pt>
                <c:pt idx="287">
                  <c:v>277.60000000000002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E-DB4B-B0B3-E12ED5BE88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963456"/>
        <c:axId val="51365728"/>
      </c:scatterChart>
      <c:valAx>
        <c:axId val="4149634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- UTC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65728"/>
        <c:crosses val="autoZero"/>
        <c:crossBetween val="midCat"/>
        <c:majorUnit val="0.125"/>
        <c:minorUnit val="4.1666666999999998E-2"/>
      </c:valAx>
      <c:valAx>
        <c:axId val="51365728"/>
        <c:scaling>
          <c:orientation val="minMax"/>
          <c:max val="4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Layer Height - km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963456"/>
        <c:crosses val="autoZero"/>
        <c:crossBetween val="midCat"/>
        <c:minorUnit val="5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WA5FRF-N5DUP 60m 04/08/2024</a:t>
            </a:r>
          </a:p>
          <a:p>
            <a:pPr>
              <a:defRPr/>
            </a:pPr>
            <a:r>
              <a:rPr lang="en-US"/>
              <a:t>317 km San Antonio - Abilene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'60m'!$B$1:$B$2</c:f>
              <c:strCache>
                <c:ptCount val="2"/>
                <c:pt idx="0">
                  <c:v>E Layer</c:v>
                </c:pt>
                <c:pt idx="1">
                  <c:v>PN TDOA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'60m'!$B$3:$B$36</c:f>
              <c:numCache>
                <c:formatCode>General</c:formatCode>
                <c:ptCount val="34"/>
                <c:pt idx="0">
                  <c:v>0.42799999999999999</c:v>
                </c:pt>
                <c:pt idx="1">
                  <c:v>0.42099999999999999</c:v>
                </c:pt>
                <c:pt idx="2">
                  <c:v>0.41799999999999998</c:v>
                </c:pt>
                <c:pt idx="3">
                  <c:v>0.42599999999999999</c:v>
                </c:pt>
                <c:pt idx="4">
                  <c:v>0.41499999999999998</c:v>
                </c:pt>
                <c:pt idx="5">
                  <c:v>0.42299999999999999</c:v>
                </c:pt>
                <c:pt idx="6">
                  <c:v>0.41599999999999998</c:v>
                </c:pt>
                <c:pt idx="7">
                  <c:v>0.41799999999999998</c:v>
                </c:pt>
                <c:pt idx="8">
                  <c:v>0.41</c:v>
                </c:pt>
                <c:pt idx="9">
                  <c:v>0.40300000000000002</c:v>
                </c:pt>
                <c:pt idx="10">
                  <c:v>0.41199999999999998</c:v>
                </c:pt>
                <c:pt idx="11">
                  <c:v>0.40100000000000002</c:v>
                </c:pt>
                <c:pt idx="12">
                  <c:v>0.40600000000000003</c:v>
                </c:pt>
                <c:pt idx="13">
                  <c:v>0.41299999999999998</c:v>
                </c:pt>
                <c:pt idx="14">
                  <c:v>0.438</c:v>
                </c:pt>
                <c:pt idx="15">
                  <c:v>0.40600000000000003</c:v>
                </c:pt>
                <c:pt idx="16">
                  <c:v>0.40400000000000003</c:v>
                </c:pt>
                <c:pt idx="17">
                  <c:v>0.432</c:v>
                </c:pt>
                <c:pt idx="18">
                  <c:v>0.43099999999999999</c:v>
                </c:pt>
                <c:pt idx="19">
                  <c:v>0.43099999999999999</c:v>
                </c:pt>
                <c:pt idx="20">
                  <c:v>0.42599999999999999</c:v>
                </c:pt>
                <c:pt idx="21">
                  <c:v>0.42399999999999999</c:v>
                </c:pt>
                <c:pt idx="22">
                  <c:v>0.42699999999999999</c:v>
                </c:pt>
                <c:pt idx="23">
                  <c:v>0.42899999999999999</c:v>
                </c:pt>
                <c:pt idx="24">
                  <c:v>0.42299999999999999</c:v>
                </c:pt>
                <c:pt idx="25">
                  <c:v>0.42299999999999999</c:v>
                </c:pt>
                <c:pt idx="26">
                  <c:v>0.42799999999999999</c:v>
                </c:pt>
                <c:pt idx="27">
                  <c:v>0.42599999999999999</c:v>
                </c:pt>
                <c:pt idx="28">
                  <c:v>0.44700000000000001</c:v>
                </c:pt>
                <c:pt idx="29">
                  <c:v>0.42799999999999999</c:v>
                </c:pt>
                <c:pt idx="30">
                  <c:v>0.44600000000000001</c:v>
                </c:pt>
                <c:pt idx="31">
                  <c:v>0.45200000000000001</c:v>
                </c:pt>
                <c:pt idx="32">
                  <c:v>0.48399999999999999</c:v>
                </c:pt>
                <c:pt idx="33">
                  <c:v>0.42099999999999999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36-B648-AD64-247C8EE57930}"/>
            </c:ext>
          </c:extLst>
        </c:ser>
        <c:ser>
          <c:idx val="2"/>
          <c:order val="1"/>
          <c:tx>
            <c:strRef>
              <c:f>'60m'!$D$1:$D$2</c:f>
              <c:strCache>
                <c:ptCount val="2"/>
                <c:pt idx="0">
                  <c:v>Chirp</c:v>
                </c:pt>
                <c:pt idx="1">
                  <c:v>TDOA - ms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'60m'!$D$3:$D$36</c:f>
              <c:numCache>
                <c:formatCode>General</c:formatCode>
                <c:ptCount val="34"/>
                <c:pt idx="0">
                  <c:v>1.47</c:v>
                </c:pt>
                <c:pt idx="1">
                  <c:v>1.32</c:v>
                </c:pt>
                <c:pt idx="2">
                  <c:v>1.52</c:v>
                </c:pt>
                <c:pt idx="3">
                  <c:v>1.43</c:v>
                </c:pt>
                <c:pt idx="4">
                  <c:v>1.45</c:v>
                </c:pt>
                <c:pt idx="5">
                  <c:v>1.6</c:v>
                </c:pt>
                <c:pt idx="6">
                  <c:v>1.54</c:v>
                </c:pt>
                <c:pt idx="8">
                  <c:v>1.82</c:v>
                </c:pt>
                <c:pt idx="9">
                  <c:v>1.92</c:v>
                </c:pt>
                <c:pt idx="10">
                  <c:v>1.9</c:v>
                </c:pt>
                <c:pt idx="11">
                  <c:v>2</c:v>
                </c:pt>
                <c:pt idx="12">
                  <c:v>2.13</c:v>
                </c:pt>
                <c:pt idx="13">
                  <c:v>2</c:v>
                </c:pt>
                <c:pt idx="15">
                  <c:v>2</c:v>
                </c:pt>
                <c:pt idx="17">
                  <c:v>2</c:v>
                </c:pt>
                <c:pt idx="18">
                  <c:v>1.75</c:v>
                </c:pt>
                <c:pt idx="19">
                  <c:v>1.96</c:v>
                </c:pt>
                <c:pt idx="22">
                  <c:v>1.675</c:v>
                </c:pt>
                <c:pt idx="23">
                  <c:v>1.72</c:v>
                </c:pt>
                <c:pt idx="24">
                  <c:v>1.72</c:v>
                </c:pt>
                <c:pt idx="25">
                  <c:v>1.77</c:v>
                </c:pt>
                <c:pt idx="26">
                  <c:v>1.72</c:v>
                </c:pt>
                <c:pt idx="27">
                  <c:v>1.69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36-B648-AD64-247C8EE57930}"/>
            </c:ext>
          </c:extLst>
        </c:ser>
        <c:ser>
          <c:idx val="4"/>
          <c:order val="3"/>
          <c:tx>
            <c:strRef>
              <c:f>'60m'!$F$1:$F$2</c:f>
              <c:strCache>
                <c:ptCount val="2"/>
                <c:pt idx="0">
                  <c:v>Low beat</c:v>
                </c:pt>
                <c:pt idx="1">
                  <c:v>TDOA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'60m'!$F$3:$F$36</c:f>
              <c:numCache>
                <c:formatCode>General</c:formatCode>
                <c:ptCount val="34"/>
                <c:pt idx="7">
                  <c:v>0.82</c:v>
                </c:pt>
                <c:pt idx="20">
                  <c:v>0.95499999999999996</c:v>
                </c:pt>
                <c:pt idx="21">
                  <c:v>0.99</c:v>
                </c:pt>
                <c:pt idx="29">
                  <c:v>0.85</c:v>
                </c:pt>
                <c:pt idx="30">
                  <c:v>0.78700000000000003</c:v>
                </c:pt>
                <c:pt idx="32">
                  <c:v>0.77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263615"/>
        <c:axId val="1820266031"/>
      </c:scatterChart>
      <c:scatterChart>
        <c:scatterStyle val="smoothMarker"/>
        <c:varyColors val="0"/>
        <c:ser>
          <c:idx val="3"/>
          <c:order val="2"/>
          <c:tx>
            <c:strRef>
              <c:f>'60m'!$E$1:$E$2</c:f>
              <c:strCache>
                <c:ptCount val="2"/>
                <c:pt idx="0">
                  <c:v>Height from</c:v>
                </c:pt>
                <c:pt idx="1">
                  <c:v>1F2-2F2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'60m'!$E$3:$E$36</c:f>
              <c:numCache>
                <c:formatCode>0</c:formatCode>
                <c:ptCount val="34"/>
                <c:pt idx="0">
                  <c:v>244.84</c:v>
                </c:pt>
                <c:pt idx="1">
                  <c:v>223.54</c:v>
                </c:pt>
                <c:pt idx="2">
                  <c:v>251.94</c:v>
                </c:pt>
                <c:pt idx="3">
                  <c:v>239.16</c:v>
                </c:pt>
                <c:pt idx="4">
                  <c:v>242</c:v>
                </c:pt>
                <c:pt idx="5">
                  <c:v>263.3</c:v>
                </c:pt>
                <c:pt idx="6">
                  <c:v>254.78</c:v>
                </c:pt>
                <c:pt idx="8">
                  <c:v>294.54000000000002</c:v>
                </c:pt>
                <c:pt idx="9">
                  <c:v>308.74</c:v>
                </c:pt>
                <c:pt idx="10">
                  <c:v>305.90000000000003</c:v>
                </c:pt>
                <c:pt idx="11">
                  <c:v>320.10000000000002</c:v>
                </c:pt>
                <c:pt idx="12">
                  <c:v>338.56</c:v>
                </c:pt>
                <c:pt idx="13">
                  <c:v>320.10000000000002</c:v>
                </c:pt>
                <c:pt idx="15">
                  <c:v>320.10000000000002</c:v>
                </c:pt>
                <c:pt idx="17">
                  <c:v>320.10000000000002</c:v>
                </c:pt>
                <c:pt idx="18">
                  <c:v>284.60000000000002</c:v>
                </c:pt>
                <c:pt idx="19">
                  <c:v>314.42</c:v>
                </c:pt>
                <c:pt idx="22">
                  <c:v>273.95</c:v>
                </c:pt>
                <c:pt idx="23">
                  <c:v>280.34000000000003</c:v>
                </c:pt>
                <c:pt idx="24">
                  <c:v>280.34000000000003</c:v>
                </c:pt>
                <c:pt idx="25">
                  <c:v>287.44</c:v>
                </c:pt>
                <c:pt idx="26">
                  <c:v>280.34000000000003</c:v>
                </c:pt>
                <c:pt idx="27">
                  <c:v>276.08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36-B648-AD64-247C8EE57930}"/>
            </c:ext>
          </c:extLst>
        </c:ser>
        <c:ser>
          <c:idx val="5"/>
          <c:order val="4"/>
          <c:tx>
            <c:strRef>
              <c:f>'60m'!$G$1:$G$2</c:f>
              <c:strCache>
                <c:ptCount val="2"/>
                <c:pt idx="0">
                  <c:v>Height from</c:v>
                </c:pt>
                <c:pt idx="1">
                  <c:v>1E-1F2</c:v>
                </c:pt>
              </c:strCache>
            </c:strRef>
          </c:tx>
          <c:spPr>
            <a:ln w="19050" cap="sq">
              <a:solidFill>
                <a:srgbClr val="FF0000"/>
              </a:solidFill>
              <a:round/>
            </a:ln>
            <a:effectLst/>
          </c:spPr>
          <c:marker>
            <c:symbol val="star"/>
            <c:size val="5"/>
            <c:spPr>
              <a:solidFill>
                <a:srgbClr val="FF0000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'60m'!$A$3:$A$36</c:f>
              <c:numCache>
                <c:formatCode>h:mm</c:formatCode>
                <c:ptCount val="34"/>
                <c:pt idx="0">
                  <c:v>0.59375</c:v>
                </c:pt>
                <c:pt idx="1">
                  <c:v>0.60069444444444442</c:v>
                </c:pt>
                <c:pt idx="2">
                  <c:v>0.60833333333333328</c:v>
                </c:pt>
                <c:pt idx="3">
                  <c:v>0.61527777777777781</c:v>
                </c:pt>
                <c:pt idx="4">
                  <c:v>0.62222222222222223</c:v>
                </c:pt>
                <c:pt idx="5">
                  <c:v>0.62916666666666665</c:v>
                </c:pt>
                <c:pt idx="6">
                  <c:v>0.63611111111111107</c:v>
                </c:pt>
                <c:pt idx="7">
                  <c:v>0.6430555555555556</c:v>
                </c:pt>
                <c:pt idx="8">
                  <c:v>0.65</c:v>
                </c:pt>
                <c:pt idx="9">
                  <c:v>0.65694444444444444</c:v>
                </c:pt>
                <c:pt idx="10">
                  <c:v>0.66388888888888886</c:v>
                </c:pt>
                <c:pt idx="11">
                  <c:v>0.67083333333333328</c:v>
                </c:pt>
                <c:pt idx="12">
                  <c:v>0.68472222222222223</c:v>
                </c:pt>
                <c:pt idx="13">
                  <c:v>0.69166666666666665</c:v>
                </c:pt>
                <c:pt idx="14">
                  <c:v>0.69861111111111107</c:v>
                </c:pt>
                <c:pt idx="15">
                  <c:v>0.71250000000000002</c:v>
                </c:pt>
                <c:pt idx="16">
                  <c:v>0.71944444444444444</c:v>
                </c:pt>
                <c:pt idx="17">
                  <c:v>0.72638888888888886</c:v>
                </c:pt>
                <c:pt idx="18">
                  <c:v>0.73333333333333328</c:v>
                </c:pt>
                <c:pt idx="19">
                  <c:v>0.74027777777777781</c:v>
                </c:pt>
                <c:pt idx="20">
                  <c:v>0.74722222222222223</c:v>
                </c:pt>
                <c:pt idx="21">
                  <c:v>0.75416666666666665</c:v>
                </c:pt>
                <c:pt idx="22">
                  <c:v>0.76111111111111107</c:v>
                </c:pt>
                <c:pt idx="23">
                  <c:v>0.7680555555555556</c:v>
                </c:pt>
                <c:pt idx="24">
                  <c:v>0.77500000000000002</c:v>
                </c:pt>
                <c:pt idx="25">
                  <c:v>0.78194444444444444</c:v>
                </c:pt>
                <c:pt idx="26">
                  <c:v>0.78888888888888886</c:v>
                </c:pt>
                <c:pt idx="27">
                  <c:v>0.79583333333333328</c:v>
                </c:pt>
                <c:pt idx="28">
                  <c:v>0.80763888888888891</c:v>
                </c:pt>
                <c:pt idx="29">
                  <c:v>0.81111111111111112</c:v>
                </c:pt>
                <c:pt idx="30">
                  <c:v>0.81666666666666665</c:v>
                </c:pt>
                <c:pt idx="31">
                  <c:v>0.82361111111111107</c:v>
                </c:pt>
                <c:pt idx="32">
                  <c:v>0.8305555555555556</c:v>
                </c:pt>
                <c:pt idx="33">
                  <c:v>0.84444444444444444</c:v>
                </c:pt>
              </c:numCache>
            </c:numRef>
          </c:xVal>
          <c:yVal>
            <c:numRef>
              <c:f>'60m'!$G$3:$G$36</c:f>
              <c:numCache>
                <c:formatCode>0</c:formatCode>
                <c:ptCount val="34"/>
                <c:pt idx="7">
                  <c:v>268.68999999999994</c:v>
                </c:pt>
                <c:pt idx="11">
                  <c:v>0</c:v>
                </c:pt>
                <c:pt idx="12">
                  <c:v>0</c:v>
                </c:pt>
                <c:pt idx="20">
                  <c:v>291.57249999999999</c:v>
                </c:pt>
                <c:pt idx="21">
                  <c:v>297.505</c:v>
                </c:pt>
                <c:pt idx="29">
                  <c:v>273.77499999999998</c:v>
                </c:pt>
                <c:pt idx="30">
                  <c:v>263.09649999999999</c:v>
                </c:pt>
                <c:pt idx="32">
                  <c:v>260.21500000000003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36-B648-AD64-247C8EE579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0888703"/>
        <c:axId val="1864672959"/>
      </c:scatterChart>
      <c:valAx>
        <c:axId val="1820263615"/>
        <c:scaling>
          <c:orientation val="minMax"/>
          <c:max val="0.875"/>
          <c:min val="0.5416666669999999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6031"/>
        <c:crosses val="autoZero"/>
        <c:crossBetween val="midCat"/>
        <c:majorUnit val="4.1666666999999998E-2"/>
        <c:minorUnit val="1.04166667E-2"/>
      </c:valAx>
      <c:valAx>
        <c:axId val="1820266031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0263615"/>
        <c:crosses val="autoZero"/>
        <c:crossBetween val="midCat"/>
      </c:valAx>
      <c:valAx>
        <c:axId val="1864672959"/>
        <c:scaling>
          <c:orientation val="minMax"/>
          <c:max val="462.1"/>
          <c:min val="36.1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0888703"/>
        <c:crosses val="max"/>
        <c:crossBetween val="midCat"/>
      </c:valAx>
      <c:valAx>
        <c:axId val="2080888703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18646729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12700</xdr:colOff>
      <xdr:row>18</xdr:row>
      <xdr:rowOff>6350</xdr:rowOff>
    </xdr:from>
    <xdr:to>
      <xdr:col>14</xdr:col>
      <xdr:colOff>0</xdr:colOff>
      <xdr:row>33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223BC-59CD-2D20-E877-E5B1113554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</xdr:row>
      <xdr:rowOff>0</xdr:rowOff>
    </xdr:from>
    <xdr:to>
      <xdr:col>14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1C332-1866-524D-AF60-9EA8F02D16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25400</xdr:colOff>
      <xdr:row>1</xdr:row>
      <xdr:rowOff>190500</xdr:rowOff>
    </xdr:from>
    <xdr:to>
      <xdr:col>21</xdr:col>
      <xdr:colOff>12700</xdr:colOff>
      <xdr:row>17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FE3EA7-AFA3-564B-B365-8939556FE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0</xdr:colOff>
      <xdr:row>18</xdr:row>
      <xdr:rowOff>0</xdr:rowOff>
    </xdr:from>
    <xdr:to>
      <xdr:col>21</xdr:col>
      <xdr:colOff>38100</xdr:colOff>
      <xdr:row>33</xdr:row>
      <xdr:rowOff>76200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B37C30-2AE9-3E2B-A1EB-48CB5116B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557000" y="3657600"/>
          <a:ext cx="5816600" cy="3124200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0.03599</cdr:x>
      <cdr:y>0.77755</cdr:y>
    </cdr:from>
    <cdr:to>
      <cdr:x>0.94859</cdr:x>
      <cdr:y>0.92055</cdr:y>
    </cdr:to>
    <cdr:sp macro="" textlink="">
      <cdr:nvSpPr>
        <cdr:cNvPr id="2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177800" y="2374901"/>
          <a:ext cx="4508501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 large and consistent return at 0.42 ms is believed to be from the E Layer.</a:t>
          </a:r>
          <a:r>
            <a:rPr lang="en-US" sz="1100" baseline="0"/>
            <a:t> The layer was so reflective so as to largely obscure access to the F2 Layer.</a:t>
          </a:r>
          <a:endParaRPr lang="en-US" sz="1100"/>
        </a:p>
      </cdr:txBody>
    </cdr:sp>
  </cdr:relSizeAnchor>
  <cdr:relSizeAnchor xmlns:cdr="http://schemas.openxmlformats.org/drawingml/2006/chartDrawing">
    <cdr:from>
      <cdr:x>0.01799</cdr:x>
      <cdr:y>0.16216</cdr:y>
    </cdr:from>
    <cdr:to>
      <cdr:x>1</cdr:x>
      <cdr:y>0.36155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CECA7576-F2BE-68EA-6FC5-6C4EF67F8863}"/>
            </a:ext>
          </a:extLst>
        </cdr:cNvPr>
        <cdr:cNvSpPr txBox="1"/>
      </cdr:nvSpPr>
      <cdr:spPr>
        <a:xfrm xmlns:a="http://schemas.openxmlformats.org/drawingml/2006/main">
          <a:off x="88900" y="495300"/>
          <a:ext cx="4851400" cy="60901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The</a:t>
          </a:r>
          <a:r>
            <a:rPr lang="en-US" sz="1100" baseline="0"/>
            <a:t> </a:t>
          </a:r>
          <a:r>
            <a:rPr lang="en-US" sz="1100"/>
            <a:t>TDOA values just under 2 ms have</a:t>
          </a:r>
          <a:r>
            <a:rPr lang="en-US" sz="1100" baseline="0"/>
            <a:t> </a:t>
          </a:r>
          <a:r>
            <a:rPr lang="en-US" sz="1100"/>
            <a:t> nearly the correct timing for predicted F2 TDOA. But this</a:t>
          </a:r>
          <a:r>
            <a:rPr lang="en-US" sz="1100" baseline="0"/>
            <a:t> data is believed to be from </a:t>
          </a:r>
          <a:r>
            <a:rPr lang="en-US" sz="1100"/>
            <a:t>4th and 5th  correlator</a:t>
          </a:r>
          <a:r>
            <a:rPr lang="en-US" sz="1100" baseline="0"/>
            <a:t> ringing</a:t>
          </a:r>
          <a:r>
            <a:rPr lang="en-US" sz="1100"/>
            <a:t> from the large E Layer</a:t>
          </a:r>
          <a:r>
            <a:rPr lang="en-US" sz="1100" baseline="0"/>
            <a:t> return at 0.42 ms with a few actual F2 layer points mixed in.</a:t>
          </a:r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0.18718</cdr:x>
      <cdr:y>0.59583</cdr:y>
    </cdr:from>
    <cdr:to>
      <cdr:x>0.84103</cdr:x>
      <cdr:y>0.68263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927100" y="18161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Autocorrelator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25400</xdr:colOff>
      <xdr:row>17</xdr:row>
      <xdr:rowOff>12700</xdr:rowOff>
    </xdr:from>
    <xdr:to>
      <xdr:col>18</xdr:col>
      <xdr:colOff>25400</xdr:colOff>
      <xdr:row>32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0BB926-D99C-9B43-B6BD-BB4F32BAB7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18</xdr:col>
      <xdr:colOff>812800</xdr:colOff>
      <xdr:row>15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1BE9AE-223D-4A4E-ABE0-0FA69CDFE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812800</xdr:colOff>
      <xdr:row>17</xdr:row>
      <xdr:rowOff>12700</xdr:rowOff>
    </xdr:from>
    <xdr:to>
      <xdr:col>12</xdr:col>
      <xdr:colOff>38100</xdr:colOff>
      <xdr:row>33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312114A-BC9A-A038-AC7D-B518993867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8</xdr:col>
      <xdr:colOff>165100</xdr:colOff>
      <xdr:row>24</xdr:row>
      <xdr:rowOff>127000</xdr:rowOff>
    </xdr:from>
    <xdr:ext cx="976421" cy="436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A7168E-3EB3-8536-FC6C-97E83946C13B}"/>
            </a:ext>
          </a:extLst>
        </xdr:cNvPr>
        <xdr:cNvSpPr txBox="1"/>
      </xdr:nvSpPr>
      <xdr:spPr>
        <a:xfrm>
          <a:off x="6769100" y="5003800"/>
          <a:ext cx="976421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1E-1F formula</a:t>
          </a:r>
        </a:p>
        <a:p>
          <a:r>
            <a:rPr lang="en-US" sz="1100"/>
            <a:t>for low TDOAs</a:t>
          </a:r>
        </a:p>
      </xdr:txBody>
    </xdr:sp>
    <xdr:clientData/>
  </xdr:oneCellAnchor>
  <xdr:oneCellAnchor>
    <xdr:from>
      <xdr:col>6</xdr:col>
      <xdr:colOff>419100</xdr:colOff>
      <xdr:row>22</xdr:row>
      <xdr:rowOff>139700</xdr:rowOff>
    </xdr:from>
    <xdr:ext cx="1043812" cy="436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2000B8A-57D0-F981-10BE-BFADB8948A9F}"/>
            </a:ext>
          </a:extLst>
        </xdr:cNvPr>
        <xdr:cNvSpPr txBox="1"/>
      </xdr:nvSpPr>
      <xdr:spPr>
        <a:xfrm>
          <a:off x="5372100" y="4610100"/>
          <a:ext cx="104381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1F-2F formula</a:t>
          </a:r>
        </a:p>
        <a:p>
          <a:r>
            <a:rPr lang="en-US" sz="1100"/>
            <a:t>for high TDOAs</a:t>
          </a:r>
        </a:p>
      </xdr:txBody>
    </xdr:sp>
    <xdr:clientData/>
  </xdr:one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0.92821</cdr:x>
      <cdr:y>0.57917</cdr:y>
    </cdr:from>
    <cdr:to>
      <cdr:x>0.99209</cdr:x>
      <cdr:y>0.86667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9F98A297-3809-4C3A-49F5-A0AAD97CE0E9}"/>
            </a:ext>
          </a:extLst>
        </cdr:cNvPr>
        <cdr:cNvSpPr txBox="1"/>
      </cdr:nvSpPr>
      <cdr:spPr>
        <a:xfrm xmlns:a="http://schemas.openxmlformats.org/drawingml/2006/main">
          <a:off x="4597400" y="1765300"/>
          <a:ext cx="316442" cy="87630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0.18718</cdr:x>
      <cdr:y>0.28333</cdr:y>
    </cdr:from>
    <cdr:to>
      <cdr:x>0.84103</cdr:x>
      <cdr:y>0.37013</cdr:y>
    </cdr:to>
    <cdr:sp macro="" textlink="">
      <cdr:nvSpPr>
        <cdr:cNvPr id="3" name="TextBox 3">
          <a:extLst xmlns:a="http://schemas.openxmlformats.org/drawingml/2006/main">
            <a:ext uri="{FF2B5EF4-FFF2-40B4-BE49-F238E27FC236}">
              <a16:creationId xmlns:a16="http://schemas.microsoft.com/office/drawing/2014/main" id="{2E37EA1B-502C-DADE-F005-1E5108ED1FCD}"/>
            </a:ext>
          </a:extLst>
        </cdr:cNvPr>
        <cdr:cNvSpPr txBox="1"/>
      </cdr:nvSpPr>
      <cdr:spPr>
        <a:xfrm xmlns:a="http://schemas.openxmlformats.org/drawingml/2006/main">
          <a:off x="927099" y="863600"/>
          <a:ext cx="3238501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F2 Layer TDOA Calculated</a:t>
          </a:r>
          <a:r>
            <a:rPr lang="en-US" sz="1100" baseline="0"/>
            <a:t> from Chirp Beat Note Period </a:t>
          </a:r>
          <a:endParaRPr lang="en-US" sz="1100"/>
        </a:p>
      </cdr:txBody>
    </cdr:sp>
  </cdr:relSizeAnchor>
  <cdr:relSizeAnchor xmlns:cdr="http://schemas.openxmlformats.org/drawingml/2006/chartDrawing">
    <cdr:from>
      <cdr:x>0.16667</cdr:x>
      <cdr:y>0.60833</cdr:y>
    </cdr:from>
    <cdr:to>
      <cdr:x>0.87949</cdr:x>
      <cdr:y>0.69513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11BC9726-A1AF-9C67-B5B9-A1F0AED21899}"/>
            </a:ext>
          </a:extLst>
        </cdr:cNvPr>
        <cdr:cNvSpPr txBox="1"/>
      </cdr:nvSpPr>
      <cdr:spPr>
        <a:xfrm xmlns:a="http://schemas.openxmlformats.org/drawingml/2006/main">
          <a:off x="825501" y="1854190"/>
          <a:ext cx="3530622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0.00256</cdr:x>
      <cdr:y>0.07083</cdr:y>
    </cdr:from>
    <cdr:to>
      <cdr:x>0.12821</cdr:x>
      <cdr:y>0.21414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12700" y="2159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0.91069</cdr:x>
      <cdr:y>0.675</cdr:y>
    </cdr:from>
    <cdr:to>
      <cdr:x>1</cdr:x>
      <cdr:y>0.77013</cdr:y>
    </cdr:to>
    <cdr:sp macro="" textlink="">
      <cdr:nvSpPr>
        <cdr:cNvPr id="6" name="TextBox 6">
          <a:extLst xmlns:a="http://schemas.openxmlformats.org/drawingml/2006/main">
            <a:ext uri="{FF2B5EF4-FFF2-40B4-BE49-F238E27FC236}">
              <a16:creationId xmlns:a16="http://schemas.microsoft.com/office/drawing/2014/main" id="{F6856B4F-53D0-CF78-604C-45A7134369EE}"/>
            </a:ext>
          </a:extLst>
        </cdr:cNvPr>
        <cdr:cNvSpPr txBox="1"/>
      </cdr:nvSpPr>
      <cdr:spPr>
        <a:xfrm xmlns:a="http://schemas.openxmlformats.org/drawingml/2006/main">
          <a:off x="4510635" y="2057400"/>
          <a:ext cx="442365" cy="2899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0.87436</cdr:x>
      <cdr:y>0.0875</cdr:y>
    </cdr:from>
    <cdr:to>
      <cdr:x>1</cdr:x>
      <cdr:y>0.2308</cdr:y>
    </cdr:to>
    <cdr:sp macro="" textlink="">
      <cdr:nvSpPr>
        <cdr:cNvPr id="7" name="TextBox 5">
          <a:extLst xmlns:a="http://schemas.openxmlformats.org/drawingml/2006/main">
            <a:ext uri="{FF2B5EF4-FFF2-40B4-BE49-F238E27FC236}">
              <a16:creationId xmlns:a16="http://schemas.microsoft.com/office/drawing/2014/main" id="{71F194FE-CFA4-577B-7DAB-9C7B25BAAE80}"/>
            </a:ext>
          </a:extLst>
        </cdr:cNvPr>
        <cdr:cNvSpPr txBox="1"/>
      </cdr:nvSpPr>
      <cdr:spPr>
        <a:xfrm xmlns:a="http://schemas.openxmlformats.org/drawingml/2006/main">
          <a:off x="4330700" y="266700"/>
          <a:ext cx="622300" cy="43678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0.11236</cdr:x>
      <cdr:y>0.60587</cdr:y>
    </cdr:from>
    <cdr:to>
      <cdr:x>0.65686</cdr:x>
      <cdr:y>0.80403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CCDFC004-8A14-0D47-6A8D-1D424D1F69E7}"/>
            </a:ext>
          </a:extLst>
        </cdr:cNvPr>
        <cdr:cNvSpPr txBox="1"/>
      </cdr:nvSpPr>
      <cdr:spPr>
        <a:xfrm xmlns:a="http://schemas.openxmlformats.org/drawingml/2006/main">
          <a:off x="555072" y="1862080"/>
          <a:ext cx="2690032" cy="609013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/>
            <a:t>Manual</a:t>
          </a:r>
          <a:r>
            <a:rPr lang="en-US" sz="1100" baseline="0"/>
            <a:t> ionosonde scaling by</a:t>
          </a:r>
          <a:r>
            <a:rPr lang="en-US"/>
            <a:t> David Themens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AB5YO TDOA analysis</a:t>
          </a:r>
          <a:r>
            <a:rPr lang="en-US" baseline="0"/>
            <a:t> by Sam Blackshear</a:t>
          </a:r>
          <a:r>
            <a:rPr lang="en-US"/>
            <a:t> </a:t>
          </a:r>
        </a:p>
        <a:p xmlns:a="http://schemas.openxmlformats.org/drawingml/2006/main"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N5DUP TDOA Analysis by Steve</a:t>
          </a:r>
          <a:r>
            <a:rPr lang="en-US" baseline="0"/>
            <a:t> Cerwin</a:t>
          </a:r>
          <a:endParaRPr lang="en-US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0.92826</cdr:x>
      <cdr:y>0.47437</cdr:y>
    </cdr:from>
    <cdr:to>
      <cdr:x>0.99746</cdr:x>
      <cdr:y>0.79381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65423-F76D-71BD-B628-CB0A8E79C7AE}"/>
            </a:ext>
          </a:extLst>
        </cdr:cNvPr>
        <cdr:cNvSpPr txBox="1"/>
      </cdr:nvSpPr>
      <cdr:spPr>
        <a:xfrm xmlns:a="http://schemas.openxmlformats.org/drawingml/2006/main">
          <a:off x="4644820" y="1542266"/>
          <a:ext cx="346280" cy="103857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endParaRPr lang="en-US" sz="1100">
            <a:solidFill>
              <a:schemeClr val="bg1"/>
            </a:solidFill>
          </a:endParaRPr>
        </a:p>
        <a:p xmlns:a="http://schemas.openxmlformats.org/drawingml/2006/main">
          <a:r>
            <a:rPr lang="en-US" sz="1100">
              <a:solidFill>
                <a:schemeClr val="bg1"/>
              </a:solidFill>
            </a:rPr>
            <a:t>A</a:t>
          </a:r>
        </a:p>
      </cdr:txBody>
    </cdr:sp>
  </cdr:relSizeAnchor>
  <cdr:relSizeAnchor xmlns:cdr="http://schemas.openxmlformats.org/drawingml/2006/chartDrawing">
    <cdr:from>
      <cdr:x>0.91041</cdr:x>
      <cdr:y>0.6379</cdr:y>
    </cdr:from>
    <cdr:to>
      <cdr:x>0.99995</cdr:x>
      <cdr:y>0.7241</cdr:y>
    </cdr:to>
    <cdr:sp macro="" textlink="">
      <cdr:nvSpPr>
        <cdr:cNvPr id="3" name="TextBox 6">
          <a:extLst xmlns:a="http://schemas.openxmlformats.org/drawingml/2006/main">
            <a:ext uri="{FF2B5EF4-FFF2-40B4-BE49-F238E27FC236}">
              <a16:creationId xmlns:a16="http://schemas.microsoft.com/office/drawing/2014/main" id="{C2EC059D-6425-32D4-2F87-1289772DCFE6}"/>
            </a:ext>
          </a:extLst>
        </cdr:cNvPr>
        <cdr:cNvSpPr txBox="1"/>
      </cdr:nvSpPr>
      <cdr:spPr>
        <a:xfrm xmlns:a="http://schemas.openxmlformats.org/drawingml/2006/main">
          <a:off x="4590190" y="2090135"/>
          <a:ext cx="451449" cy="28246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-100</a:t>
          </a:r>
        </a:p>
      </cdr:txBody>
    </cdr:sp>
  </cdr:relSizeAnchor>
  <cdr:relSizeAnchor xmlns:cdr="http://schemas.openxmlformats.org/drawingml/2006/chartDrawing">
    <cdr:from>
      <cdr:x>0</cdr:x>
      <cdr:y>0.07025</cdr:y>
    </cdr:from>
    <cdr:to>
      <cdr:x>0.12501</cdr:x>
      <cdr:y>0.21237</cdr:y>
    </cdr:to>
    <cdr:sp macro="" textlink="">
      <cdr:nvSpPr>
        <cdr:cNvPr id="4" name="TextBox 5">
          <a:extLst xmlns:a="http://schemas.openxmlformats.org/drawingml/2006/main">
            <a:ext uri="{FF2B5EF4-FFF2-40B4-BE49-F238E27FC236}">
              <a16:creationId xmlns:a16="http://schemas.microsoft.com/office/drawing/2014/main" id="{C01034B3-FED5-9869-9417-26393E8C7E45}"/>
            </a:ext>
          </a:extLst>
        </cdr:cNvPr>
        <cdr:cNvSpPr txBox="1"/>
      </cdr:nvSpPr>
      <cdr:spPr>
        <a:xfrm xmlns:a="http://schemas.openxmlformats.org/drawingml/2006/main">
          <a:off x="0" y="215900"/>
          <a:ext cx="622344" cy="43680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TDOA</a:t>
          </a:r>
        </a:p>
        <a:p xmlns:a="http://schemas.openxmlformats.org/drawingml/2006/main">
          <a:r>
            <a:rPr lang="en-US" sz="1100"/>
            <a:t>ms</a:t>
          </a:r>
        </a:p>
      </cdr:txBody>
    </cdr:sp>
  </cdr:relSizeAnchor>
  <cdr:relSizeAnchor xmlns:cdr="http://schemas.openxmlformats.org/drawingml/2006/chartDrawing">
    <cdr:from>
      <cdr:x>0.875</cdr:x>
      <cdr:y>0.08264</cdr:y>
    </cdr:from>
    <cdr:to>
      <cdr:x>1</cdr:x>
      <cdr:y>0.22476</cdr:y>
    </cdr:to>
    <cdr:sp macro="" textlink="">
      <cdr:nvSpPr>
        <cdr:cNvPr id="5" name="TextBox 5">
          <a:extLst xmlns:a="http://schemas.openxmlformats.org/drawingml/2006/main">
            <a:ext uri="{FF2B5EF4-FFF2-40B4-BE49-F238E27FC236}">
              <a16:creationId xmlns:a16="http://schemas.microsoft.com/office/drawing/2014/main" id="{010D2EC9-58B4-CDB3-0A61-267A96DB5F5F}"/>
            </a:ext>
          </a:extLst>
        </cdr:cNvPr>
        <cdr:cNvSpPr txBox="1"/>
      </cdr:nvSpPr>
      <cdr:spPr>
        <a:xfrm xmlns:a="http://schemas.openxmlformats.org/drawingml/2006/main">
          <a:off x="4356105" y="254000"/>
          <a:ext cx="622295" cy="43677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Virtual ht. - km</a:t>
          </a:r>
        </a:p>
      </cdr:txBody>
    </cdr:sp>
  </cdr:relSizeAnchor>
  <cdr:relSizeAnchor xmlns:cdr="http://schemas.openxmlformats.org/drawingml/2006/chartDrawing">
    <cdr:from>
      <cdr:x>0.18528</cdr:x>
      <cdr:y>0.69531</cdr:y>
    </cdr:from>
    <cdr:to>
      <cdr:x>0.88071</cdr:x>
      <cdr:y>0.77669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2EC99811-13FF-87F4-AD1E-DD659F2F2611}"/>
            </a:ext>
          </a:extLst>
        </cdr:cNvPr>
        <cdr:cNvSpPr txBox="1"/>
      </cdr:nvSpPr>
      <cdr:spPr>
        <a:xfrm xmlns:a="http://schemas.openxmlformats.org/drawingml/2006/main">
          <a:off x="927100" y="2260600"/>
          <a:ext cx="3479800" cy="26456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 Layer TDOA Calculated</a:t>
          </a:r>
          <a:r>
            <a:rPr lang="en-US" sz="1100" baseline="0"/>
            <a:t> from PN Burst by Autocorrelation</a:t>
          </a:r>
          <a:endParaRPr lang="en-US" sz="1100"/>
        </a:p>
      </cdr:txBody>
    </cdr:sp>
  </cdr:relSizeAnchor>
  <cdr:relSizeAnchor xmlns:cdr="http://schemas.openxmlformats.org/drawingml/2006/chartDrawing">
    <cdr:from>
      <cdr:x>0.17513</cdr:x>
      <cdr:y>0.22266</cdr:y>
    </cdr:from>
    <cdr:to>
      <cdr:x>0.82234</cdr:x>
      <cdr:y>0.357</cdr:y>
    </cdr:to>
    <cdr:sp macro="" textlink="">
      <cdr:nvSpPr>
        <cdr:cNvPr id="7" name="TextBox 3">
          <a:extLst xmlns:a="http://schemas.openxmlformats.org/drawingml/2006/main">
            <a:ext uri="{FF2B5EF4-FFF2-40B4-BE49-F238E27FC236}">
              <a16:creationId xmlns:a16="http://schemas.microsoft.com/office/drawing/2014/main" id="{FA06E368-73BB-0AB1-DF2A-D87E8A3893EA}"/>
            </a:ext>
          </a:extLst>
        </cdr:cNvPr>
        <cdr:cNvSpPr txBox="1"/>
      </cdr:nvSpPr>
      <cdr:spPr>
        <a:xfrm xmlns:a="http://schemas.openxmlformats.org/drawingml/2006/main">
          <a:off x="876300" y="723900"/>
          <a:ext cx="3238519" cy="43678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/>
            <a:t>F2 Layer TDOA Calculated</a:t>
          </a:r>
          <a:r>
            <a:rPr lang="en-US" sz="1100" baseline="0"/>
            <a:t> from Chirp Beat Note Period </a:t>
          </a:r>
        </a:p>
        <a:p xmlns:a="http://schemas.openxmlformats.org/drawingml/2006/main">
          <a:pPr algn="ctr"/>
          <a:r>
            <a:rPr lang="en-US" sz="1100" baseline="0"/>
            <a:t>Using 1F-2F and 1E-1F Virtual Height Formulas</a:t>
          </a:r>
          <a:endParaRPr lang="en-US" sz="1100"/>
        </a:p>
      </cdr:txBody>
    </cdr:sp>
  </cdr:relSizeAnchor>
  <cdr:relSizeAnchor xmlns:cdr="http://schemas.openxmlformats.org/drawingml/2006/chartDrawing">
    <cdr:from>
      <cdr:x>0.32995</cdr:x>
      <cdr:y>0.48828</cdr:y>
    </cdr:from>
    <cdr:to>
      <cdr:x>0.32995</cdr:x>
      <cdr:y>0.59375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19272D9C-EC36-BB3C-F6EF-BC0183763E51}"/>
            </a:ext>
          </a:extLst>
        </cdr:cNvPr>
        <cdr:cNvCxnSpPr/>
      </cdr:nvCxnSpPr>
      <cdr:spPr>
        <a:xfrm xmlns:a="http://schemas.openxmlformats.org/drawingml/2006/main">
          <a:off x="1651000" y="15875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0.6066</cdr:x>
      <cdr:y>0.46094</cdr:y>
    </cdr:from>
    <cdr:to>
      <cdr:x>0.6066</cdr:x>
      <cdr:y>0.56641</cdr:y>
    </cdr:to>
    <cdr:cxnSp macro="">
      <cdr:nvCxnSpPr>
        <cdr:cNvPr id="18" name="Straight Arrow Connector 17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035300" y="14986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0.78173</cdr:x>
      <cdr:y>0.49609</cdr:y>
    </cdr:from>
    <cdr:to>
      <cdr:x>0.78173</cdr:x>
      <cdr:y>0.60156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09CD454C-4782-E4AE-CAC2-08B56211E5F6}"/>
            </a:ext>
          </a:extLst>
        </cdr:cNvPr>
        <cdr:cNvCxnSpPr/>
      </cdr:nvCxnSpPr>
      <cdr:spPr>
        <a:xfrm xmlns:a="http://schemas.openxmlformats.org/drawingml/2006/main">
          <a:off x="3911600" y="1612900"/>
          <a:ext cx="0" cy="342900"/>
        </a:xfrm>
        <a:prstGeom xmlns:a="http://schemas.openxmlformats.org/drawingml/2006/main" prst="straightConnector1">
          <a:avLst/>
        </a:prstGeom>
        <a:ln xmlns:a="http://schemas.openxmlformats.org/drawingml/2006/main">
          <a:headEnd type="triangle"/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tevecerwin/Desktop/20240408%20EclipseDay%20Ionosonde%20Data/Austin%20240408%20DThemens%20-%20AB5YO%20TDOA.xlsx" TargetMode="External"/><Relationship Id="rId1" Type="http://schemas.openxmlformats.org/officeDocument/2006/relationships/externalLinkPath" Target="/Users/stevecerwin/Desktop/20240408%20EclipseDay%20Ionosonde%20Data/Austin%20240408%20DThemens%20-%20AB5YO%20TDO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harts"/>
    </sheetNames>
    <sheetDataSet>
      <sheetData sheetId="0">
        <row r="3">
          <cell r="C3">
            <v>5.7870370370370373E-5</v>
          </cell>
          <cell r="H3">
            <v>286.5</v>
          </cell>
          <cell r="M3">
            <v>0.58819444444444446</v>
          </cell>
          <cell r="N3">
            <v>257</v>
          </cell>
        </row>
        <row r="4">
          <cell r="C4">
            <v>3.5300925925925925E-3</v>
          </cell>
          <cell r="H4">
            <v>296.10000000000002</v>
          </cell>
          <cell r="M4">
            <v>0.59236111111111112</v>
          </cell>
          <cell r="N4">
            <v>252</v>
          </cell>
        </row>
        <row r="5">
          <cell r="C5">
            <v>7.0023148148148145E-3</v>
          </cell>
          <cell r="H5">
            <v>282.89999999999998</v>
          </cell>
          <cell r="M5">
            <v>0.59930555555555554</v>
          </cell>
          <cell r="N5">
            <v>269</v>
          </cell>
        </row>
        <row r="6">
          <cell r="C6">
            <v>1.0474537037037037E-2</v>
          </cell>
          <cell r="H6">
            <v>286.60000000000002</v>
          </cell>
          <cell r="M6">
            <v>0.60624999999999996</v>
          </cell>
          <cell r="N6">
            <v>276</v>
          </cell>
        </row>
        <row r="7">
          <cell r="C7">
            <v>1.3946759259259259E-2</v>
          </cell>
          <cell r="H7">
            <v>286.7</v>
          </cell>
          <cell r="M7">
            <v>0.61319444444444449</v>
          </cell>
          <cell r="N7">
            <v>280</v>
          </cell>
        </row>
        <row r="8">
          <cell r="C8">
            <v>1.7418981481481483E-2</v>
          </cell>
          <cell r="H8">
            <v>281.89999999999998</v>
          </cell>
          <cell r="M8">
            <v>0.62013888888888891</v>
          </cell>
          <cell r="N8">
            <v>280</v>
          </cell>
        </row>
        <row r="9">
          <cell r="C9">
            <v>2.0891203703703703E-2</v>
          </cell>
          <cell r="H9">
            <v>281.3</v>
          </cell>
          <cell r="M9">
            <v>0.62083333333333335</v>
          </cell>
          <cell r="N9">
            <v>291</v>
          </cell>
        </row>
        <row r="10">
          <cell r="C10">
            <v>2.4363425925925927E-2</v>
          </cell>
          <cell r="H10">
            <v>276.8</v>
          </cell>
          <cell r="M10">
            <v>0.62708333333333333</v>
          </cell>
          <cell r="N10">
            <v>285</v>
          </cell>
        </row>
        <row r="11">
          <cell r="C11">
            <v>2.7835648148148148E-2</v>
          </cell>
          <cell r="H11">
            <v>281.39999999999998</v>
          </cell>
          <cell r="M11">
            <v>0.63402777777777775</v>
          </cell>
          <cell r="N11">
            <v>282</v>
          </cell>
        </row>
        <row r="12">
          <cell r="C12">
            <v>3.1307870370370368E-2</v>
          </cell>
          <cell r="H12">
            <v>284.3</v>
          </cell>
          <cell r="M12">
            <v>0.64097222222222228</v>
          </cell>
          <cell r="N12">
            <v>306</v>
          </cell>
        </row>
        <row r="13">
          <cell r="C13">
            <v>3.4780092592592592E-2</v>
          </cell>
          <cell r="H13">
            <v>277.10000000000002</v>
          </cell>
          <cell r="M13">
            <v>0.6479166666666667</v>
          </cell>
          <cell r="N13">
            <v>306</v>
          </cell>
        </row>
        <row r="14">
          <cell r="C14">
            <v>3.8252314814814815E-2</v>
          </cell>
          <cell r="H14">
            <v>278.39999999999998</v>
          </cell>
          <cell r="M14">
            <v>0.65486111111111112</v>
          </cell>
          <cell r="N14">
            <v>306</v>
          </cell>
        </row>
        <row r="15">
          <cell r="C15">
            <v>4.1724537037037039E-2</v>
          </cell>
          <cell r="H15">
            <v>282.7</v>
          </cell>
          <cell r="M15">
            <v>0.66597222222222219</v>
          </cell>
          <cell r="N15">
            <v>313</v>
          </cell>
        </row>
        <row r="16">
          <cell r="C16">
            <v>4.5196759259259256E-2</v>
          </cell>
          <cell r="H16">
            <v>282.5</v>
          </cell>
          <cell r="M16">
            <v>0.66874999999999996</v>
          </cell>
          <cell r="N16">
            <v>313</v>
          </cell>
        </row>
        <row r="17">
          <cell r="C17">
            <v>4.866898148148148E-2</v>
          </cell>
          <cell r="H17">
            <v>274.2</v>
          </cell>
          <cell r="M17">
            <v>0.67569444444444449</v>
          </cell>
          <cell r="N17">
            <v>303</v>
          </cell>
        </row>
        <row r="18">
          <cell r="C18">
            <v>5.2141203703703703E-2</v>
          </cell>
          <cell r="H18">
            <v>274.10000000000002</v>
          </cell>
          <cell r="M18">
            <v>0.68263888888888891</v>
          </cell>
          <cell r="N18">
            <v>291</v>
          </cell>
        </row>
        <row r="19">
          <cell r="C19">
            <v>5.5613425925925927E-2</v>
          </cell>
          <cell r="H19">
            <v>277.8</v>
          </cell>
          <cell r="M19">
            <v>0.69722222222222219</v>
          </cell>
          <cell r="N19">
            <v>287</v>
          </cell>
        </row>
        <row r="20">
          <cell r="C20">
            <v>5.9085648148148151E-2</v>
          </cell>
          <cell r="H20">
            <v>281.10000000000002</v>
          </cell>
          <cell r="M20">
            <v>0.70347222222222228</v>
          </cell>
          <cell r="N20">
            <v>296</v>
          </cell>
        </row>
        <row r="21">
          <cell r="C21">
            <v>6.2557870370370375E-2</v>
          </cell>
          <cell r="H21">
            <v>282.5</v>
          </cell>
          <cell r="M21">
            <v>0.7104166666666667</v>
          </cell>
          <cell r="N21">
            <v>296</v>
          </cell>
        </row>
        <row r="22">
          <cell r="C22">
            <v>6.6030092592592599E-2</v>
          </cell>
          <cell r="H22">
            <v>284</v>
          </cell>
          <cell r="M22">
            <v>0.71736111111111112</v>
          </cell>
          <cell r="N22">
            <v>273</v>
          </cell>
        </row>
        <row r="23">
          <cell r="C23">
            <v>6.9502314814814808E-2</v>
          </cell>
          <cell r="H23">
            <v>277.7</v>
          </cell>
          <cell r="M23">
            <v>0.72430555555555554</v>
          </cell>
          <cell r="N23">
            <v>287</v>
          </cell>
        </row>
        <row r="24">
          <cell r="C24">
            <v>7.2974537037037032E-2</v>
          </cell>
          <cell r="H24">
            <v>281</v>
          </cell>
          <cell r="M24">
            <v>0.73124999999999996</v>
          </cell>
          <cell r="N24">
            <v>287</v>
          </cell>
        </row>
        <row r="25">
          <cell r="C25">
            <v>7.6446759259259256E-2</v>
          </cell>
          <cell r="H25">
            <v>281.2</v>
          </cell>
          <cell r="M25">
            <v>0.73819444444444449</v>
          </cell>
          <cell r="N25">
            <v>286</v>
          </cell>
        </row>
        <row r="26">
          <cell r="C26">
            <v>7.991898148148148E-2</v>
          </cell>
          <cell r="H26">
            <v>278.2</v>
          </cell>
          <cell r="M26">
            <v>0.74513888888888891</v>
          </cell>
          <cell r="N26">
            <v>293</v>
          </cell>
        </row>
        <row r="27">
          <cell r="C27">
            <v>8.3391203703703703E-2</v>
          </cell>
          <cell r="H27">
            <v>276.3</v>
          </cell>
          <cell r="M27">
            <v>0.75208333333333333</v>
          </cell>
          <cell r="N27">
            <v>278</v>
          </cell>
        </row>
        <row r="28">
          <cell r="C28">
            <v>8.6863425925925927E-2</v>
          </cell>
          <cell r="H28">
            <v>279.2</v>
          </cell>
          <cell r="M28">
            <v>0.75902777777777775</v>
          </cell>
          <cell r="N28">
            <v>284</v>
          </cell>
        </row>
        <row r="29">
          <cell r="C29">
            <v>9.0335648148148151E-2</v>
          </cell>
          <cell r="H29">
            <v>284.10000000000002</v>
          </cell>
          <cell r="M29">
            <v>0.76597222222222228</v>
          </cell>
          <cell r="N29">
            <v>276</v>
          </cell>
        </row>
        <row r="30">
          <cell r="C30">
            <v>9.3807870370370375E-2</v>
          </cell>
          <cell r="H30">
            <v>279</v>
          </cell>
          <cell r="M30">
            <v>0.76736111111111116</v>
          </cell>
          <cell r="N30">
            <v>276</v>
          </cell>
        </row>
        <row r="31">
          <cell r="C31">
            <v>9.7280092592592599E-2</v>
          </cell>
          <cell r="H31">
            <v>280.60000000000002</v>
          </cell>
          <cell r="M31">
            <v>0.7729166666666667</v>
          </cell>
          <cell r="N31">
            <v>268</v>
          </cell>
        </row>
        <row r="32">
          <cell r="C32">
            <v>0.10075231481481481</v>
          </cell>
          <cell r="H32">
            <v>278</v>
          </cell>
          <cell r="M32">
            <v>0.77777777777777779</v>
          </cell>
          <cell r="N32">
            <v>290</v>
          </cell>
        </row>
        <row r="33">
          <cell r="C33">
            <v>0.10422453703703703</v>
          </cell>
          <cell r="H33">
            <v>281.8</v>
          </cell>
          <cell r="M33">
            <v>0.77986111111111112</v>
          </cell>
          <cell r="N33">
            <v>295</v>
          </cell>
        </row>
        <row r="34">
          <cell r="C34">
            <v>0.10769675925925926</v>
          </cell>
          <cell r="H34">
            <v>287</v>
          </cell>
          <cell r="M34">
            <v>0.78125</v>
          </cell>
          <cell r="N34">
            <v>297</v>
          </cell>
        </row>
        <row r="35">
          <cell r="C35">
            <v>0.11116898148148148</v>
          </cell>
          <cell r="H35">
            <v>296.89999999999998</v>
          </cell>
          <cell r="M35">
            <v>0.78680555555555554</v>
          </cell>
          <cell r="N35">
            <v>300</v>
          </cell>
        </row>
        <row r="36">
          <cell r="C36">
            <v>0.1146412037037037</v>
          </cell>
          <cell r="H36">
            <v>301.8</v>
          </cell>
          <cell r="M36">
            <v>0.78749999999999998</v>
          </cell>
          <cell r="N36">
            <v>304</v>
          </cell>
        </row>
        <row r="37">
          <cell r="C37">
            <v>0.11811342592592593</v>
          </cell>
          <cell r="H37">
            <v>305.60000000000002</v>
          </cell>
          <cell r="M37">
            <v>0.79236111111111107</v>
          </cell>
          <cell r="N37">
            <v>300</v>
          </cell>
        </row>
        <row r="38">
          <cell r="C38">
            <v>0.12158564814814815</v>
          </cell>
          <cell r="H38">
            <v>300</v>
          </cell>
          <cell r="M38">
            <v>0.79305555555555551</v>
          </cell>
          <cell r="N38">
            <v>300</v>
          </cell>
        </row>
        <row r="39">
          <cell r="C39">
            <v>0.12505787037037036</v>
          </cell>
          <cell r="H39">
            <v>311.2</v>
          </cell>
          <cell r="M39">
            <v>0.79374999999999996</v>
          </cell>
          <cell r="N39">
            <v>300</v>
          </cell>
        </row>
        <row r="40">
          <cell r="C40">
            <v>0.1285300925925926</v>
          </cell>
          <cell r="H40">
            <v>314</v>
          </cell>
          <cell r="M40">
            <v>0.79513888888888884</v>
          </cell>
          <cell r="N40">
            <v>302</v>
          </cell>
        </row>
        <row r="41">
          <cell r="C41">
            <v>0.13200231481481481</v>
          </cell>
          <cell r="H41">
            <v>323</v>
          </cell>
          <cell r="M41">
            <v>0.80069444444444449</v>
          </cell>
          <cell r="N41">
            <v>302</v>
          </cell>
        </row>
        <row r="42">
          <cell r="C42">
            <v>0.13547453703703705</v>
          </cell>
          <cell r="H42">
            <v>317.2</v>
          </cell>
          <cell r="M42">
            <v>0.80555555555555558</v>
          </cell>
          <cell r="N42">
            <v>300</v>
          </cell>
        </row>
        <row r="43">
          <cell r="C43">
            <v>0.13894675925925926</v>
          </cell>
          <cell r="H43">
            <v>317.60000000000002</v>
          </cell>
          <cell r="M43">
            <v>0.80694444444444446</v>
          </cell>
          <cell r="N43">
            <v>303</v>
          </cell>
        </row>
        <row r="44">
          <cell r="C44">
            <v>0.14241898148148149</v>
          </cell>
          <cell r="H44">
            <v>311.60000000000002</v>
          </cell>
          <cell r="M44">
            <v>0.80972222222222223</v>
          </cell>
          <cell r="N44">
            <v>297</v>
          </cell>
        </row>
        <row r="45">
          <cell r="C45">
            <v>0.1458912037037037</v>
          </cell>
          <cell r="H45">
            <v>337.2</v>
          </cell>
          <cell r="M45">
            <v>0.81527777777777777</v>
          </cell>
          <cell r="N45">
            <v>294</v>
          </cell>
        </row>
        <row r="46">
          <cell r="C46">
            <v>0.14936342592592591</v>
          </cell>
          <cell r="H46">
            <v>354.5</v>
          </cell>
          <cell r="M46">
            <v>0.81597222222222221</v>
          </cell>
          <cell r="N46">
            <v>292</v>
          </cell>
        </row>
        <row r="47">
          <cell r="C47">
            <v>0.15283564814814815</v>
          </cell>
          <cell r="H47">
            <v>361.3</v>
          </cell>
          <cell r="M47">
            <v>0.82152777777777775</v>
          </cell>
          <cell r="N47">
            <v>293</v>
          </cell>
        </row>
        <row r="48">
          <cell r="C48">
            <v>0.15630787037037036</v>
          </cell>
          <cell r="H48">
            <v>352.7</v>
          </cell>
          <cell r="M48">
            <v>0.82847222222222228</v>
          </cell>
          <cell r="N48">
            <v>293</v>
          </cell>
        </row>
        <row r="49">
          <cell r="C49">
            <v>0.1597800925925926</v>
          </cell>
          <cell r="H49">
            <v>345.2</v>
          </cell>
          <cell r="M49">
            <v>0.84236111111111112</v>
          </cell>
          <cell r="N49">
            <v>276</v>
          </cell>
        </row>
        <row r="50">
          <cell r="C50">
            <v>0.16325231481481481</v>
          </cell>
          <cell r="H50">
            <v>343.4</v>
          </cell>
        </row>
        <row r="51">
          <cell r="C51">
            <v>0.16672453703703705</v>
          </cell>
          <cell r="H51">
            <v>353.8</v>
          </cell>
        </row>
        <row r="52">
          <cell r="C52">
            <v>0.17019675925925926</v>
          </cell>
          <cell r="H52">
            <v>347</v>
          </cell>
        </row>
        <row r="53">
          <cell r="C53">
            <v>0.17366898148148149</v>
          </cell>
          <cell r="H53">
            <v>348.8</v>
          </cell>
        </row>
        <row r="54">
          <cell r="C54">
            <v>0.1771412037037037</v>
          </cell>
          <cell r="H54">
            <v>347.4</v>
          </cell>
        </row>
        <row r="55">
          <cell r="C55">
            <v>0.18061342592592591</v>
          </cell>
          <cell r="H55">
            <v>349.4</v>
          </cell>
        </row>
        <row r="56">
          <cell r="C56">
            <v>0.18408564814814815</v>
          </cell>
          <cell r="H56">
            <v>349</v>
          </cell>
        </row>
        <row r="57">
          <cell r="C57">
            <v>0.18755787037037036</v>
          </cell>
          <cell r="H57">
            <v>353.2</v>
          </cell>
        </row>
        <row r="58">
          <cell r="C58">
            <v>0.1910300925925926</v>
          </cell>
          <cell r="H58">
            <v>350.9</v>
          </cell>
        </row>
        <row r="59">
          <cell r="C59">
            <v>0.19450231481481481</v>
          </cell>
          <cell r="H59">
            <v>348.6</v>
          </cell>
        </row>
        <row r="60">
          <cell r="C60">
            <v>0.19797453703703705</v>
          </cell>
          <cell r="H60">
            <v>348.3</v>
          </cell>
        </row>
        <row r="61">
          <cell r="C61">
            <v>0.20144675925925926</v>
          </cell>
          <cell r="H61">
            <v>348</v>
          </cell>
        </row>
        <row r="62">
          <cell r="C62">
            <v>0.20491898148148149</v>
          </cell>
          <cell r="H62">
            <v>351.3</v>
          </cell>
        </row>
        <row r="63">
          <cell r="C63">
            <v>0.2083912037037037</v>
          </cell>
          <cell r="H63">
            <v>354.9</v>
          </cell>
        </row>
        <row r="64">
          <cell r="C64">
            <v>0.21186342592592591</v>
          </cell>
          <cell r="H64">
            <v>350.1</v>
          </cell>
        </row>
        <row r="65">
          <cell r="C65">
            <v>0.21533564814814815</v>
          </cell>
          <cell r="H65">
            <v>350.6</v>
          </cell>
        </row>
        <row r="66">
          <cell r="C66">
            <v>0.21880787037037036</v>
          </cell>
          <cell r="H66">
            <v>357.4</v>
          </cell>
        </row>
        <row r="67">
          <cell r="C67">
            <v>0.2222800925925926</v>
          </cell>
          <cell r="H67">
            <v>353.9</v>
          </cell>
        </row>
        <row r="68">
          <cell r="C68">
            <v>0.22575231481481481</v>
          </cell>
          <cell r="H68">
            <v>342.9</v>
          </cell>
        </row>
        <row r="69">
          <cell r="C69">
            <v>0.22922453703703705</v>
          </cell>
          <cell r="H69">
            <v>344.6</v>
          </cell>
        </row>
        <row r="70">
          <cell r="C70">
            <v>0.23269675925925926</v>
          </cell>
          <cell r="H70">
            <v>353.1</v>
          </cell>
        </row>
        <row r="71">
          <cell r="C71">
            <v>0.23616898148148149</v>
          </cell>
          <cell r="H71">
            <v>348.9</v>
          </cell>
        </row>
        <row r="72">
          <cell r="C72">
            <v>0.2396412037037037</v>
          </cell>
          <cell r="H72">
            <v>345.4</v>
          </cell>
        </row>
        <row r="73">
          <cell r="C73">
            <v>0.24311342592592591</v>
          </cell>
          <cell r="H73">
            <v>344.9</v>
          </cell>
        </row>
        <row r="74">
          <cell r="C74">
            <v>0.24658564814814815</v>
          </cell>
          <cell r="H74">
            <v>339.1</v>
          </cell>
        </row>
        <row r="75">
          <cell r="C75">
            <v>0.25005787037037036</v>
          </cell>
          <cell r="H75">
            <v>329.6</v>
          </cell>
        </row>
        <row r="76">
          <cell r="C76">
            <v>0.25353009259259257</v>
          </cell>
          <cell r="H76">
            <v>346.1</v>
          </cell>
        </row>
        <row r="77">
          <cell r="C77">
            <v>0.25700231481481484</v>
          </cell>
          <cell r="H77">
            <v>343</v>
          </cell>
        </row>
        <row r="78">
          <cell r="C78">
            <v>0.26047453703703705</v>
          </cell>
          <cell r="H78">
            <v>342.6</v>
          </cell>
        </row>
        <row r="79">
          <cell r="C79">
            <v>0.26394675925925926</v>
          </cell>
          <cell r="H79">
            <v>344.7</v>
          </cell>
        </row>
        <row r="80">
          <cell r="C80">
            <v>0.26741898148148147</v>
          </cell>
          <cell r="H80">
            <v>355.4</v>
          </cell>
        </row>
        <row r="81">
          <cell r="C81">
            <v>0.27089120370370373</v>
          </cell>
          <cell r="H81">
            <v>354.2</v>
          </cell>
        </row>
        <row r="82">
          <cell r="C82">
            <v>0.27436342592592594</v>
          </cell>
          <cell r="H82">
            <v>357.1</v>
          </cell>
        </row>
        <row r="83">
          <cell r="C83">
            <v>0.27783564814814815</v>
          </cell>
          <cell r="H83">
            <v>352.9</v>
          </cell>
        </row>
        <row r="84">
          <cell r="C84">
            <v>0.28130787037037036</v>
          </cell>
          <cell r="H84">
            <v>360.8</v>
          </cell>
        </row>
        <row r="85">
          <cell r="C85">
            <v>0.28478009259259257</v>
          </cell>
          <cell r="H85">
            <v>360.4</v>
          </cell>
        </row>
        <row r="86">
          <cell r="C86">
            <v>0.28825231481481484</v>
          </cell>
          <cell r="H86">
            <v>371.6</v>
          </cell>
        </row>
        <row r="87">
          <cell r="C87">
            <v>0.29172453703703705</v>
          </cell>
          <cell r="H87">
            <v>371.2</v>
          </cell>
        </row>
        <row r="88">
          <cell r="C88">
            <v>0.29519675925925926</v>
          </cell>
          <cell r="H88">
            <v>369.4</v>
          </cell>
        </row>
        <row r="89">
          <cell r="C89">
            <v>0.29866898148148147</v>
          </cell>
          <cell r="H89">
            <v>365.7</v>
          </cell>
        </row>
        <row r="90">
          <cell r="C90">
            <v>0.30214120370370373</v>
          </cell>
          <cell r="H90">
            <v>373.7</v>
          </cell>
        </row>
        <row r="91">
          <cell r="C91">
            <v>0.30561342592592594</v>
          </cell>
          <cell r="H91">
            <v>372.6</v>
          </cell>
        </row>
        <row r="92">
          <cell r="C92">
            <v>0.30908564814814815</v>
          </cell>
          <cell r="H92">
            <v>374.2</v>
          </cell>
        </row>
        <row r="93">
          <cell r="C93">
            <v>0.31255787037037036</v>
          </cell>
          <cell r="H93">
            <v>381.5</v>
          </cell>
        </row>
        <row r="94">
          <cell r="C94">
            <v>0.31603009259259257</v>
          </cell>
          <cell r="H94">
            <v>383.7</v>
          </cell>
        </row>
        <row r="95">
          <cell r="C95">
            <v>0.31950231481481484</v>
          </cell>
          <cell r="H95">
            <v>378.1</v>
          </cell>
        </row>
        <row r="96">
          <cell r="C96">
            <v>0.32297453703703705</v>
          </cell>
          <cell r="H96">
            <v>377</v>
          </cell>
        </row>
        <row r="97">
          <cell r="C97">
            <v>0.32644675925925926</v>
          </cell>
          <cell r="H97">
            <v>373</v>
          </cell>
        </row>
        <row r="98">
          <cell r="C98">
            <v>0.32991898148148147</v>
          </cell>
          <cell r="H98">
            <v>371.7</v>
          </cell>
        </row>
        <row r="99">
          <cell r="C99">
            <v>0.33339120370370373</v>
          </cell>
          <cell r="H99">
            <v>361.9</v>
          </cell>
        </row>
        <row r="100">
          <cell r="C100">
            <v>0.33686342592592594</v>
          </cell>
          <cell r="H100">
            <v>363.8</v>
          </cell>
        </row>
        <row r="101">
          <cell r="C101">
            <v>0.34033564814814815</v>
          </cell>
          <cell r="H101">
            <v>367.3</v>
          </cell>
        </row>
        <row r="102">
          <cell r="C102">
            <v>0.34380787037037036</v>
          </cell>
          <cell r="H102">
            <v>367.7</v>
          </cell>
        </row>
        <row r="103">
          <cell r="C103">
            <v>0.34728009259259257</v>
          </cell>
          <cell r="H103">
            <v>366.9</v>
          </cell>
        </row>
        <row r="104">
          <cell r="C104">
            <v>0.35075231481481484</v>
          </cell>
          <cell r="H104">
            <v>358.2</v>
          </cell>
        </row>
        <row r="105">
          <cell r="C105">
            <v>0.35422453703703705</v>
          </cell>
          <cell r="H105">
            <v>368.7</v>
          </cell>
        </row>
        <row r="106">
          <cell r="C106">
            <v>0.35769675925925926</v>
          </cell>
          <cell r="H106">
            <v>371.2</v>
          </cell>
        </row>
        <row r="107">
          <cell r="C107">
            <v>0.36116898148148147</v>
          </cell>
          <cell r="H107">
            <v>356.6</v>
          </cell>
        </row>
        <row r="108">
          <cell r="C108">
            <v>0.36464120370370373</v>
          </cell>
          <cell r="H108">
            <v>366.8</v>
          </cell>
        </row>
        <row r="109">
          <cell r="C109">
            <v>0.36811342592592594</v>
          </cell>
          <cell r="H109">
            <v>356.9</v>
          </cell>
        </row>
        <row r="110">
          <cell r="C110">
            <v>0.37158564814814815</v>
          </cell>
          <cell r="H110">
            <v>368.4</v>
          </cell>
        </row>
        <row r="111">
          <cell r="C111">
            <v>0.37505787037037036</v>
          </cell>
          <cell r="H111">
            <v>370.2</v>
          </cell>
        </row>
        <row r="112">
          <cell r="C112">
            <v>0.37853009259259257</v>
          </cell>
          <cell r="H112">
            <v>361.3</v>
          </cell>
        </row>
        <row r="113">
          <cell r="C113">
            <v>0.38200231481481484</v>
          </cell>
          <cell r="H113">
            <v>351.8</v>
          </cell>
        </row>
        <row r="114">
          <cell r="C114">
            <v>0.38547453703703705</v>
          </cell>
          <cell r="H114">
            <v>361.7</v>
          </cell>
        </row>
        <row r="115">
          <cell r="C115">
            <v>0.38894675925925926</v>
          </cell>
          <cell r="H115">
            <v>352.9</v>
          </cell>
        </row>
        <row r="116">
          <cell r="C116">
            <v>0.39241898148148147</v>
          </cell>
          <cell r="H116">
            <v>346.7</v>
          </cell>
        </row>
        <row r="117">
          <cell r="C117">
            <v>0.39589120370370373</v>
          </cell>
          <cell r="H117">
            <v>354.1</v>
          </cell>
        </row>
        <row r="118">
          <cell r="C118">
            <v>0.39936342592592594</v>
          </cell>
          <cell r="H118">
            <v>352.4</v>
          </cell>
        </row>
        <row r="119">
          <cell r="C119">
            <v>0.40283564814814815</v>
          </cell>
          <cell r="H119">
            <v>352</v>
          </cell>
        </row>
        <row r="120">
          <cell r="C120">
            <v>0.40630787037037036</v>
          </cell>
          <cell r="H120">
            <v>339.1</v>
          </cell>
        </row>
        <row r="121">
          <cell r="C121">
            <v>0.40978009259259257</v>
          </cell>
          <cell r="H121">
            <v>351.7</v>
          </cell>
        </row>
        <row r="122">
          <cell r="C122">
            <v>0.41325231481481484</v>
          </cell>
          <cell r="H122">
            <v>339.1</v>
          </cell>
        </row>
        <row r="123">
          <cell r="C123">
            <v>0.41672453703703705</v>
          </cell>
          <cell r="H123">
            <v>350</v>
          </cell>
        </row>
        <row r="124">
          <cell r="C124">
            <v>0.42019675925925926</v>
          </cell>
          <cell r="H124">
            <v>342.3</v>
          </cell>
        </row>
        <row r="125">
          <cell r="C125">
            <v>0.42366898148148147</v>
          </cell>
          <cell r="H125">
            <v>342.9</v>
          </cell>
        </row>
        <row r="126">
          <cell r="C126">
            <v>0.42714120370370373</v>
          </cell>
          <cell r="H126">
            <v>352.7</v>
          </cell>
        </row>
        <row r="127">
          <cell r="C127">
            <v>0.43061342592592594</v>
          </cell>
          <cell r="H127">
            <v>339.8</v>
          </cell>
        </row>
        <row r="128">
          <cell r="C128">
            <v>0.43408564814814815</v>
          </cell>
          <cell r="H128">
            <v>345.2</v>
          </cell>
        </row>
        <row r="129">
          <cell r="C129">
            <v>0.43755787037037036</v>
          </cell>
          <cell r="H129">
            <v>339.5</v>
          </cell>
        </row>
        <row r="130">
          <cell r="C130">
            <v>0.44103009259259257</v>
          </cell>
          <cell r="H130">
            <v>343.5</v>
          </cell>
        </row>
        <row r="131">
          <cell r="C131">
            <v>0.44450231481481484</v>
          </cell>
          <cell r="H131">
            <v>339.5</v>
          </cell>
        </row>
        <row r="132">
          <cell r="C132">
            <v>0.44797453703703705</v>
          </cell>
          <cell r="H132">
            <v>339.4</v>
          </cell>
        </row>
        <row r="133">
          <cell r="C133">
            <v>0.45144675925925926</v>
          </cell>
          <cell r="H133">
            <v>336.4</v>
          </cell>
        </row>
        <row r="134">
          <cell r="C134">
            <v>0.45491898148148147</v>
          </cell>
          <cell r="H134">
            <v>334.4</v>
          </cell>
        </row>
        <row r="135">
          <cell r="C135">
            <v>0.45839120370370373</v>
          </cell>
          <cell r="H135">
            <v>334</v>
          </cell>
        </row>
        <row r="136">
          <cell r="C136">
            <v>0.46186342592592594</v>
          </cell>
          <cell r="H136">
            <v>325</v>
          </cell>
        </row>
        <row r="137">
          <cell r="C137">
            <v>0.46533564814814815</v>
          </cell>
          <cell r="H137">
            <v>329.6</v>
          </cell>
        </row>
        <row r="138">
          <cell r="C138">
            <v>0.46880787037037036</v>
          </cell>
          <cell r="H138">
            <v>331.3</v>
          </cell>
        </row>
        <row r="139">
          <cell r="C139">
            <v>0.47228009259259257</v>
          </cell>
          <cell r="H139">
            <v>320.8</v>
          </cell>
        </row>
        <row r="140">
          <cell r="C140">
            <v>0.47575231481481484</v>
          </cell>
          <cell r="H140">
            <v>323</v>
          </cell>
        </row>
        <row r="141">
          <cell r="C141">
            <v>0.47922453703703705</v>
          </cell>
          <cell r="H141">
            <v>320.7</v>
          </cell>
        </row>
        <row r="142">
          <cell r="C142">
            <v>0.48269675925925926</v>
          </cell>
          <cell r="H142">
            <v>324.7</v>
          </cell>
        </row>
        <row r="143">
          <cell r="C143">
            <v>0.48616898148148147</v>
          </cell>
          <cell r="H143">
            <v>313.60000000000002</v>
          </cell>
        </row>
        <row r="144">
          <cell r="C144">
            <v>0.48964120370370373</v>
          </cell>
          <cell r="H144">
            <v>309.5</v>
          </cell>
        </row>
        <row r="145">
          <cell r="C145">
            <v>0.49311342592592594</v>
          </cell>
          <cell r="H145">
            <v>309.5</v>
          </cell>
        </row>
        <row r="146">
          <cell r="C146">
            <v>0.49658564814814815</v>
          </cell>
          <cell r="H146">
            <v>302.39999999999998</v>
          </cell>
        </row>
        <row r="147">
          <cell r="C147">
            <v>0.50005787037037042</v>
          </cell>
          <cell r="H147">
            <v>304.5</v>
          </cell>
        </row>
        <row r="148">
          <cell r="C148">
            <v>0.50353009259259263</v>
          </cell>
          <cell r="H148">
            <v>295.60000000000002</v>
          </cell>
        </row>
        <row r="149">
          <cell r="C149">
            <v>0.50700231481481484</v>
          </cell>
          <cell r="H149">
            <v>288.10000000000002</v>
          </cell>
        </row>
        <row r="150">
          <cell r="C150">
            <v>0.51047453703703705</v>
          </cell>
          <cell r="H150">
            <v>287.5</v>
          </cell>
        </row>
        <row r="151">
          <cell r="C151">
            <v>0.51394675925925926</v>
          </cell>
          <cell r="H151">
            <v>280.10000000000002</v>
          </cell>
        </row>
        <row r="152">
          <cell r="C152">
            <v>0.51741898148148147</v>
          </cell>
          <cell r="H152">
            <v>276.7</v>
          </cell>
        </row>
        <row r="153">
          <cell r="C153">
            <v>0.52089120370370368</v>
          </cell>
          <cell r="H153">
            <v>272.7</v>
          </cell>
        </row>
        <row r="154">
          <cell r="C154">
            <v>0.52436342592592589</v>
          </cell>
          <cell r="H154">
            <v>272.8</v>
          </cell>
        </row>
        <row r="155">
          <cell r="C155">
            <v>0.5278356481481481</v>
          </cell>
          <cell r="H155">
            <v>258.7</v>
          </cell>
        </row>
        <row r="156">
          <cell r="C156">
            <v>0.53130787037037042</v>
          </cell>
          <cell r="H156">
            <v>260.89999999999998</v>
          </cell>
        </row>
        <row r="157">
          <cell r="C157">
            <v>0.53478009259259263</v>
          </cell>
          <cell r="H157">
            <v>265.3</v>
          </cell>
        </row>
        <row r="158">
          <cell r="C158">
            <v>0.53825231481481484</v>
          </cell>
          <cell r="H158">
            <v>271.10000000000002</v>
          </cell>
        </row>
        <row r="159">
          <cell r="C159">
            <v>0.54172453703703705</v>
          </cell>
          <cell r="H159">
            <v>269</v>
          </cell>
        </row>
        <row r="160">
          <cell r="C160">
            <v>0.54519675925925926</v>
          </cell>
          <cell r="H160">
            <v>264.5</v>
          </cell>
        </row>
        <row r="161">
          <cell r="C161">
            <v>0.54866898148148147</v>
          </cell>
          <cell r="H161">
            <v>262.39999999999998</v>
          </cell>
        </row>
        <row r="162">
          <cell r="C162">
            <v>0.55214120370370368</v>
          </cell>
          <cell r="H162">
            <v>267</v>
          </cell>
        </row>
        <row r="163">
          <cell r="C163">
            <v>0.55561342592592589</v>
          </cell>
          <cell r="H163">
            <v>270</v>
          </cell>
        </row>
        <row r="164">
          <cell r="C164">
            <v>0.5590856481481481</v>
          </cell>
          <cell r="H164">
            <v>260.10000000000002</v>
          </cell>
        </row>
        <row r="165">
          <cell r="C165">
            <v>0.56255787037037042</v>
          </cell>
          <cell r="H165">
            <v>251.6</v>
          </cell>
        </row>
        <row r="166">
          <cell r="C166">
            <v>0.56603009259259263</v>
          </cell>
          <cell r="H166">
            <v>258.2</v>
          </cell>
        </row>
        <row r="167">
          <cell r="C167">
            <v>0.56950231481481484</v>
          </cell>
          <cell r="H167">
            <v>255.6</v>
          </cell>
        </row>
        <row r="168">
          <cell r="C168">
            <v>0.57297453703703705</v>
          </cell>
          <cell r="H168">
            <v>243.6</v>
          </cell>
        </row>
        <row r="169">
          <cell r="C169">
            <v>0.57644675925925926</v>
          </cell>
          <cell r="H169">
            <v>250.6</v>
          </cell>
        </row>
        <row r="170">
          <cell r="C170">
            <v>0.57991898148148147</v>
          </cell>
          <cell r="H170">
            <v>264.3</v>
          </cell>
        </row>
        <row r="171">
          <cell r="C171">
            <v>0.58339120370370368</v>
          </cell>
          <cell r="H171">
            <v>263</v>
          </cell>
        </row>
        <row r="172">
          <cell r="C172">
            <v>0.58686342592592589</v>
          </cell>
          <cell r="H172">
            <v>258.2</v>
          </cell>
        </row>
        <row r="173">
          <cell r="C173">
            <v>0.5903356481481481</v>
          </cell>
          <cell r="H173">
            <v>253.2</v>
          </cell>
        </row>
        <row r="174">
          <cell r="C174">
            <v>0.59380787037037042</v>
          </cell>
          <cell r="H174">
            <v>246.7</v>
          </cell>
        </row>
        <row r="175">
          <cell r="C175">
            <v>0.59728009259259263</v>
          </cell>
          <cell r="H175">
            <v>249.7</v>
          </cell>
        </row>
        <row r="176">
          <cell r="C176">
            <v>0.60075231481481484</v>
          </cell>
          <cell r="H176">
            <v>254.8</v>
          </cell>
        </row>
        <row r="177">
          <cell r="C177">
            <v>0.60422453703703705</v>
          </cell>
          <cell r="H177">
            <v>249.8</v>
          </cell>
        </row>
        <row r="178">
          <cell r="C178">
            <v>0.60769675925925926</v>
          </cell>
          <cell r="H178">
            <v>253</v>
          </cell>
        </row>
        <row r="179">
          <cell r="C179">
            <v>0.61116898148148147</v>
          </cell>
          <cell r="H179">
            <v>252</v>
          </cell>
        </row>
        <row r="180">
          <cell r="C180">
            <v>0.61464120370370368</v>
          </cell>
          <cell r="H180">
            <v>265.7</v>
          </cell>
        </row>
        <row r="181">
          <cell r="C181">
            <v>0.61811342592592589</v>
          </cell>
          <cell r="H181">
            <v>275.60000000000002</v>
          </cell>
        </row>
        <row r="182">
          <cell r="C182">
            <v>0.6215856481481481</v>
          </cell>
          <cell r="H182">
            <v>279.7</v>
          </cell>
        </row>
        <row r="183">
          <cell r="C183">
            <v>0.62505787037037042</v>
          </cell>
          <cell r="H183">
            <v>275.5</v>
          </cell>
        </row>
        <row r="184">
          <cell r="C184">
            <v>0.62853009259259263</v>
          </cell>
          <cell r="H184">
            <v>277.7</v>
          </cell>
        </row>
        <row r="185">
          <cell r="C185">
            <v>0.63200231481481484</v>
          </cell>
          <cell r="H185">
            <v>279.2</v>
          </cell>
        </row>
        <row r="186">
          <cell r="C186">
            <v>0.63547453703703705</v>
          </cell>
          <cell r="H186">
            <v>270.8</v>
          </cell>
        </row>
        <row r="187">
          <cell r="C187">
            <v>0.63894675925925926</v>
          </cell>
          <cell r="H187">
            <v>263.5</v>
          </cell>
        </row>
        <row r="188">
          <cell r="C188">
            <v>0.64241898148148147</v>
          </cell>
          <cell r="H188">
            <v>265.8</v>
          </cell>
        </row>
        <row r="189">
          <cell r="C189">
            <v>0.64589120370370368</v>
          </cell>
          <cell r="H189">
            <v>283.60000000000002</v>
          </cell>
        </row>
        <row r="190">
          <cell r="C190">
            <v>0.64936342592592589</v>
          </cell>
          <cell r="H190">
            <v>286</v>
          </cell>
        </row>
        <row r="191">
          <cell r="C191">
            <v>0.6528356481481481</v>
          </cell>
          <cell r="H191">
            <v>298.10000000000002</v>
          </cell>
        </row>
        <row r="192">
          <cell r="C192">
            <v>0.65630787037037042</v>
          </cell>
          <cell r="H192">
            <v>295.5</v>
          </cell>
        </row>
        <row r="193">
          <cell r="C193">
            <v>0.65978009259259263</v>
          </cell>
          <cell r="H193">
            <v>297.2</v>
          </cell>
        </row>
        <row r="194">
          <cell r="C194">
            <v>0.66325231481481484</v>
          </cell>
          <cell r="H194">
            <v>292.7</v>
          </cell>
        </row>
        <row r="195">
          <cell r="C195">
            <v>0.66672453703703705</v>
          </cell>
          <cell r="H195">
            <v>295.60000000000002</v>
          </cell>
        </row>
        <row r="196">
          <cell r="C196">
            <v>0.67019675925925926</v>
          </cell>
          <cell r="H196">
            <v>299.7</v>
          </cell>
        </row>
        <row r="197">
          <cell r="C197">
            <v>0.67366898148148147</v>
          </cell>
          <cell r="H197">
            <v>296.39999999999998</v>
          </cell>
        </row>
        <row r="198">
          <cell r="C198">
            <v>0.67714120370370368</v>
          </cell>
          <cell r="H198">
            <v>293</v>
          </cell>
        </row>
        <row r="199">
          <cell r="C199">
            <v>0.68061342592592589</v>
          </cell>
          <cell r="H199">
            <v>288.3</v>
          </cell>
        </row>
        <row r="200">
          <cell r="C200">
            <v>0.6840856481481481</v>
          </cell>
          <cell r="H200">
            <v>284.5</v>
          </cell>
        </row>
        <row r="201">
          <cell r="C201">
            <v>0.68755787037037042</v>
          </cell>
          <cell r="H201">
            <v>280.7</v>
          </cell>
        </row>
        <row r="202">
          <cell r="C202">
            <v>0.69103009259259263</v>
          </cell>
          <cell r="H202">
            <v>285</v>
          </cell>
        </row>
        <row r="203">
          <cell r="C203">
            <v>0.69450231481481484</v>
          </cell>
          <cell r="H203">
            <v>298.60000000000002</v>
          </cell>
        </row>
        <row r="204">
          <cell r="C204">
            <v>0.69797453703703705</v>
          </cell>
          <cell r="H204">
            <v>287.8</v>
          </cell>
        </row>
        <row r="205">
          <cell r="C205">
            <v>0.70144675925925926</v>
          </cell>
          <cell r="H205">
            <v>286.5</v>
          </cell>
        </row>
        <row r="206">
          <cell r="C206">
            <v>0.70491898148148147</v>
          </cell>
          <cell r="H206">
            <v>279.3</v>
          </cell>
        </row>
        <row r="207">
          <cell r="C207">
            <v>0.70839120370370368</v>
          </cell>
          <cell r="H207">
            <v>283.8</v>
          </cell>
        </row>
        <row r="208">
          <cell r="C208">
            <v>0.71186342592592589</v>
          </cell>
          <cell r="H208">
            <v>296.8</v>
          </cell>
        </row>
        <row r="209">
          <cell r="C209">
            <v>0.7153356481481481</v>
          </cell>
          <cell r="H209">
            <v>289.10000000000002</v>
          </cell>
        </row>
        <row r="210">
          <cell r="C210">
            <v>0.71880787037037042</v>
          </cell>
          <cell r="H210">
            <v>300.3</v>
          </cell>
        </row>
        <row r="211">
          <cell r="C211">
            <v>0.72228009259259263</v>
          </cell>
          <cell r="H211">
            <v>291.89999999999998</v>
          </cell>
        </row>
        <row r="212">
          <cell r="C212">
            <v>0.72575231481481484</v>
          </cell>
          <cell r="H212">
            <v>288.89999999999998</v>
          </cell>
        </row>
        <row r="213">
          <cell r="C213">
            <v>0.72922453703703705</v>
          </cell>
          <cell r="H213">
            <v>300.39999999999998</v>
          </cell>
        </row>
        <row r="214">
          <cell r="C214">
            <v>0.73269675925925926</v>
          </cell>
          <cell r="H214">
            <v>295.8</v>
          </cell>
        </row>
        <row r="215">
          <cell r="C215">
            <v>0.73616898148148147</v>
          </cell>
          <cell r="H215">
            <v>289.39999999999998</v>
          </cell>
        </row>
        <row r="216">
          <cell r="C216">
            <v>0.73964120370370368</v>
          </cell>
          <cell r="H216">
            <v>292</v>
          </cell>
        </row>
        <row r="217">
          <cell r="C217">
            <v>0.74311342592592589</v>
          </cell>
          <cell r="H217">
            <v>300.7</v>
          </cell>
        </row>
        <row r="218">
          <cell r="C218">
            <v>0.7465856481481481</v>
          </cell>
          <cell r="H218">
            <v>290.89999999999998</v>
          </cell>
        </row>
        <row r="219">
          <cell r="C219">
            <v>0.75005787037037042</v>
          </cell>
          <cell r="H219">
            <v>307.39999999999998</v>
          </cell>
        </row>
        <row r="220">
          <cell r="C220">
            <v>0.75353009259259263</v>
          </cell>
          <cell r="H220">
            <v>304.7</v>
          </cell>
        </row>
        <row r="221">
          <cell r="C221">
            <v>0.75700231481481484</v>
          </cell>
          <cell r="H221">
            <v>292.8</v>
          </cell>
        </row>
        <row r="222">
          <cell r="C222">
            <v>0.76047453703703705</v>
          </cell>
          <cell r="H222">
            <v>302.3</v>
          </cell>
        </row>
        <row r="223">
          <cell r="C223">
            <v>0.76394675925925926</v>
          </cell>
          <cell r="H223">
            <v>313.60000000000002</v>
          </cell>
        </row>
        <row r="224">
          <cell r="C224">
            <v>0.76741898148148147</v>
          </cell>
          <cell r="H224">
            <v>308.7</v>
          </cell>
        </row>
        <row r="225">
          <cell r="C225">
            <v>0.77089120370370368</v>
          </cell>
          <cell r="H225">
            <v>300</v>
          </cell>
        </row>
        <row r="226">
          <cell r="C226">
            <v>0.77436342592592589</v>
          </cell>
          <cell r="H226">
            <v>291.7</v>
          </cell>
        </row>
        <row r="227">
          <cell r="C227">
            <v>0.7778356481481481</v>
          </cell>
          <cell r="H227">
            <v>302.39999999999998</v>
          </cell>
        </row>
        <row r="228">
          <cell r="C228">
            <v>0.78130787037037042</v>
          </cell>
          <cell r="H228">
            <v>303.7</v>
          </cell>
        </row>
        <row r="229">
          <cell r="C229">
            <v>0.78478009259259263</v>
          </cell>
          <cell r="H229">
            <v>301</v>
          </cell>
        </row>
        <row r="230">
          <cell r="C230">
            <v>0.78825231481481484</v>
          </cell>
          <cell r="H230">
            <v>306.2</v>
          </cell>
        </row>
        <row r="231">
          <cell r="C231">
            <v>0.79172453703703705</v>
          </cell>
          <cell r="H231">
            <v>298.3</v>
          </cell>
        </row>
        <row r="232">
          <cell r="C232">
            <v>0.79519675925925926</v>
          </cell>
          <cell r="H232">
            <v>284.89999999999998</v>
          </cell>
        </row>
        <row r="233">
          <cell r="C233">
            <v>0.79866898148148147</v>
          </cell>
          <cell r="H233">
            <v>291.39999999999998</v>
          </cell>
        </row>
        <row r="234">
          <cell r="C234">
            <v>0.80214120370370368</v>
          </cell>
          <cell r="H234">
            <v>293.8</v>
          </cell>
        </row>
        <row r="235">
          <cell r="C235">
            <v>0.80561342592592589</v>
          </cell>
          <cell r="H235">
            <v>292.5</v>
          </cell>
        </row>
        <row r="236">
          <cell r="C236">
            <v>0.8090856481481481</v>
          </cell>
          <cell r="H236">
            <v>302.39999999999998</v>
          </cell>
        </row>
        <row r="237">
          <cell r="C237">
            <v>0.81255787037037042</v>
          </cell>
          <cell r="H237">
            <v>286.60000000000002</v>
          </cell>
        </row>
        <row r="238">
          <cell r="C238">
            <v>0.81603009259259263</v>
          </cell>
          <cell r="H238">
            <v>285.89999999999998</v>
          </cell>
        </row>
        <row r="239">
          <cell r="C239">
            <v>0.81950231481481484</v>
          </cell>
          <cell r="H239">
            <v>276.5</v>
          </cell>
        </row>
        <row r="240">
          <cell r="C240">
            <v>0.82297453703703705</v>
          </cell>
          <cell r="H240">
            <v>288</v>
          </cell>
        </row>
        <row r="241">
          <cell r="C241">
            <v>0.82644675925925926</v>
          </cell>
          <cell r="H241">
            <v>286.5</v>
          </cell>
        </row>
        <row r="242">
          <cell r="C242">
            <v>0.82991898148148147</v>
          </cell>
          <cell r="H242">
            <v>278.89999999999998</v>
          </cell>
        </row>
        <row r="243">
          <cell r="C243">
            <v>0.83339120370370368</v>
          </cell>
          <cell r="H243">
            <v>275.89999999999998</v>
          </cell>
        </row>
        <row r="244">
          <cell r="C244">
            <v>0.83686342592592589</v>
          </cell>
          <cell r="H244">
            <v>270.60000000000002</v>
          </cell>
        </row>
        <row r="245">
          <cell r="C245">
            <v>0.8403356481481481</v>
          </cell>
          <cell r="H245">
            <v>280.7</v>
          </cell>
        </row>
        <row r="246">
          <cell r="C246">
            <v>0.84380787037037042</v>
          </cell>
          <cell r="H246">
            <v>276.10000000000002</v>
          </cell>
        </row>
        <row r="247">
          <cell r="C247">
            <v>0.84728009259259263</v>
          </cell>
          <cell r="H247">
            <v>273.10000000000002</v>
          </cell>
        </row>
        <row r="248">
          <cell r="C248">
            <v>0.85075231481481484</v>
          </cell>
          <cell r="H248">
            <v>275.7</v>
          </cell>
        </row>
        <row r="249">
          <cell r="C249">
            <v>0.85422453703703705</v>
          </cell>
          <cell r="H249">
            <v>279.2</v>
          </cell>
        </row>
        <row r="250">
          <cell r="C250">
            <v>0.85769675925925926</v>
          </cell>
          <cell r="H250">
            <v>299.5</v>
          </cell>
        </row>
        <row r="251">
          <cell r="C251">
            <v>0.86116898148148147</v>
          </cell>
          <cell r="H251">
            <v>290.89999999999998</v>
          </cell>
        </row>
        <row r="252">
          <cell r="C252">
            <v>0.86464120370370368</v>
          </cell>
          <cell r="H252">
            <v>285.8</v>
          </cell>
        </row>
        <row r="253">
          <cell r="C253">
            <v>0.86811342592592589</v>
          </cell>
          <cell r="H253">
            <v>278.89999999999998</v>
          </cell>
        </row>
        <row r="254">
          <cell r="C254">
            <v>0.8715856481481481</v>
          </cell>
          <cell r="H254">
            <v>281</v>
          </cell>
        </row>
        <row r="255">
          <cell r="C255">
            <v>0.87505787037037042</v>
          </cell>
          <cell r="H255">
            <v>288.8</v>
          </cell>
        </row>
        <row r="256">
          <cell r="C256">
            <v>0.87853009259259263</v>
          </cell>
          <cell r="H256">
            <v>279.89999999999998</v>
          </cell>
        </row>
        <row r="257">
          <cell r="C257">
            <v>0.88200231481481484</v>
          </cell>
          <cell r="H257">
            <v>281</v>
          </cell>
        </row>
        <row r="258">
          <cell r="C258">
            <v>0.88547453703703705</v>
          </cell>
          <cell r="H258">
            <v>277.39999999999998</v>
          </cell>
        </row>
        <row r="259">
          <cell r="C259">
            <v>0.88894675925925926</v>
          </cell>
          <cell r="H259">
            <v>277</v>
          </cell>
        </row>
        <row r="260">
          <cell r="C260">
            <v>0.89241898148148147</v>
          </cell>
          <cell r="H260">
            <v>271.5</v>
          </cell>
        </row>
        <row r="261">
          <cell r="C261">
            <v>0.89589120370370368</v>
          </cell>
          <cell r="H261">
            <v>276.89999999999998</v>
          </cell>
        </row>
        <row r="262">
          <cell r="C262">
            <v>0.89936342592592589</v>
          </cell>
          <cell r="H262">
            <v>280.3</v>
          </cell>
        </row>
        <row r="263">
          <cell r="C263">
            <v>0.9028356481481481</v>
          </cell>
          <cell r="H263">
            <v>276.10000000000002</v>
          </cell>
        </row>
        <row r="264">
          <cell r="C264">
            <v>0.90630787037037042</v>
          </cell>
          <cell r="H264">
            <v>272.7</v>
          </cell>
        </row>
        <row r="265">
          <cell r="C265">
            <v>0.90978009259259263</v>
          </cell>
          <cell r="H265">
            <v>278.7</v>
          </cell>
        </row>
        <row r="266">
          <cell r="C266">
            <v>0.91325231481481484</v>
          </cell>
          <cell r="H266">
            <v>278.5</v>
          </cell>
        </row>
        <row r="267">
          <cell r="C267">
            <v>0.91672453703703705</v>
          </cell>
          <cell r="H267">
            <v>278.10000000000002</v>
          </cell>
        </row>
        <row r="268">
          <cell r="C268">
            <v>0.92019675925925926</v>
          </cell>
          <cell r="H268">
            <v>279.10000000000002</v>
          </cell>
        </row>
        <row r="269">
          <cell r="C269">
            <v>0.92366898148148147</v>
          </cell>
          <cell r="H269">
            <v>283.60000000000002</v>
          </cell>
        </row>
        <row r="270">
          <cell r="C270">
            <v>0.92714120370370368</v>
          </cell>
          <cell r="H270">
            <v>279.8</v>
          </cell>
        </row>
        <row r="271">
          <cell r="C271">
            <v>0.93061342592592589</v>
          </cell>
          <cell r="H271">
            <v>276.7</v>
          </cell>
        </row>
        <row r="272">
          <cell r="C272">
            <v>0.9340856481481481</v>
          </cell>
          <cell r="H272">
            <v>282.2</v>
          </cell>
        </row>
        <row r="273">
          <cell r="C273">
            <v>0.93755787037037042</v>
          </cell>
          <cell r="H273">
            <v>280.10000000000002</v>
          </cell>
        </row>
        <row r="274">
          <cell r="C274">
            <v>0.94103009259259263</v>
          </cell>
          <cell r="H274">
            <v>274.5</v>
          </cell>
        </row>
        <row r="275">
          <cell r="C275">
            <v>0.94450231481481484</v>
          </cell>
          <cell r="H275">
            <v>280.10000000000002</v>
          </cell>
        </row>
        <row r="276">
          <cell r="C276">
            <v>0.94797453703703705</v>
          </cell>
          <cell r="H276">
            <v>276.2</v>
          </cell>
        </row>
        <row r="277">
          <cell r="C277">
            <v>0.95144675925925926</v>
          </cell>
          <cell r="H277">
            <v>282.5</v>
          </cell>
        </row>
        <row r="278">
          <cell r="C278">
            <v>0.95491898148148147</v>
          </cell>
          <cell r="H278">
            <v>279.39999999999998</v>
          </cell>
        </row>
        <row r="279">
          <cell r="C279">
            <v>0.95839120370370368</v>
          </cell>
          <cell r="H279">
            <v>283.2</v>
          </cell>
        </row>
        <row r="280">
          <cell r="C280">
            <v>0.96186342592592589</v>
          </cell>
          <cell r="H280">
            <v>286.39999999999998</v>
          </cell>
        </row>
        <row r="281">
          <cell r="C281">
            <v>0.9653356481481481</v>
          </cell>
          <cell r="H281">
            <v>278</v>
          </cell>
        </row>
        <row r="282">
          <cell r="C282">
            <v>0.96880787037037042</v>
          </cell>
          <cell r="H282">
            <v>280.3</v>
          </cell>
        </row>
        <row r="283">
          <cell r="C283">
            <v>0.97228009259259263</v>
          </cell>
          <cell r="H283">
            <v>282.89999999999998</v>
          </cell>
        </row>
        <row r="284">
          <cell r="C284">
            <v>0.97575231481481484</v>
          </cell>
          <cell r="H284">
            <v>279.10000000000002</v>
          </cell>
        </row>
        <row r="285">
          <cell r="C285">
            <v>0.97922453703703705</v>
          </cell>
          <cell r="H285">
            <v>289.3</v>
          </cell>
        </row>
        <row r="286">
          <cell r="C286">
            <v>0.98269675925925926</v>
          </cell>
          <cell r="H286">
            <v>284.39999999999998</v>
          </cell>
        </row>
        <row r="287">
          <cell r="C287">
            <v>0.98616898148148147</v>
          </cell>
          <cell r="H287">
            <v>284.2</v>
          </cell>
        </row>
        <row r="288">
          <cell r="C288">
            <v>0.98964120370370368</v>
          </cell>
          <cell r="H288">
            <v>281.39999999999998</v>
          </cell>
        </row>
        <row r="289">
          <cell r="C289">
            <v>0.99311342592592589</v>
          </cell>
          <cell r="H289">
            <v>273.39999999999998</v>
          </cell>
        </row>
        <row r="290">
          <cell r="C290">
            <v>0.9965856481481481</v>
          </cell>
          <cell r="H290">
            <v>277.60000000000002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10BE-C830-0042-A3A6-22845464EC11}">
  <dimension ref="A1:G135"/>
  <sheetViews>
    <sheetView topLeftCell="G13" workbookViewId="0">
      <selection activeCell="W30" sqref="W30"/>
    </sheetView>
  </sheetViews>
  <sheetFormatPr baseColWidth="10" defaultRowHeight="16" x14ac:dyDescent="0.2"/>
  <sheetData>
    <row r="1" spans="1:7" x14ac:dyDescent="0.2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6</v>
      </c>
      <c r="G1" t="s">
        <v>10</v>
      </c>
    </row>
    <row r="2" spans="1:7" x14ac:dyDescent="0.2">
      <c r="A2" t="s">
        <v>1</v>
      </c>
      <c r="B2" t="s">
        <v>2</v>
      </c>
      <c r="C2" t="s">
        <v>2</v>
      </c>
      <c r="D2" t="s">
        <v>12</v>
      </c>
      <c r="E2" t="s">
        <v>7</v>
      </c>
      <c r="F2" t="s">
        <v>8</v>
      </c>
      <c r="G2" t="s">
        <v>9</v>
      </c>
    </row>
    <row r="3" spans="1:7" x14ac:dyDescent="0.2">
      <c r="A3" s="1">
        <v>0.59236111111111112</v>
      </c>
      <c r="B3">
        <v>0.42199999999999999</v>
      </c>
      <c r="C3">
        <v>1.8</v>
      </c>
      <c r="D3">
        <v>1.8</v>
      </c>
      <c r="E3">
        <v>7</v>
      </c>
      <c r="F3">
        <v>1.62</v>
      </c>
      <c r="G3">
        <f>142*F3+36.1</f>
        <v>266.14000000000004</v>
      </c>
    </row>
    <row r="4" spans="1:7" x14ac:dyDescent="0.2">
      <c r="A4" s="1">
        <v>0.59236111111111112</v>
      </c>
      <c r="B4">
        <v>0.42199999999999999</v>
      </c>
      <c r="C4">
        <v>1.8</v>
      </c>
      <c r="D4">
        <v>1.8</v>
      </c>
      <c r="E4">
        <v>7</v>
      </c>
      <c r="F4">
        <v>1.62</v>
      </c>
      <c r="G4">
        <f t="shared" ref="G4:G67" si="0">142*F4+36.1</f>
        <v>266.14000000000004</v>
      </c>
    </row>
    <row r="5" spans="1:7" x14ac:dyDescent="0.2">
      <c r="A5" s="1">
        <v>0.59236111111111112</v>
      </c>
      <c r="B5">
        <v>0.42399999999999999</v>
      </c>
      <c r="C5">
        <v>1.68</v>
      </c>
      <c r="D5">
        <v>1.88</v>
      </c>
      <c r="E5">
        <v>7</v>
      </c>
      <c r="F5">
        <v>1.62</v>
      </c>
      <c r="G5">
        <f t="shared" si="0"/>
        <v>266.14000000000004</v>
      </c>
    </row>
    <row r="6" spans="1:7" x14ac:dyDescent="0.2">
      <c r="A6" s="1">
        <v>0.59236111111111112</v>
      </c>
      <c r="B6">
        <v>0.42399999999999999</v>
      </c>
      <c r="C6">
        <v>2.08</v>
      </c>
      <c r="D6">
        <v>1.88</v>
      </c>
      <c r="E6">
        <v>7</v>
      </c>
      <c r="F6">
        <v>1.62</v>
      </c>
      <c r="G6">
        <f t="shared" si="0"/>
        <v>266.14000000000004</v>
      </c>
    </row>
    <row r="7" spans="1:7" x14ac:dyDescent="0.2">
      <c r="A7" s="1">
        <v>0.59930555555555554</v>
      </c>
      <c r="B7">
        <v>0.432</v>
      </c>
      <c r="C7">
        <v>1.97</v>
      </c>
      <c r="D7">
        <v>1.97</v>
      </c>
      <c r="E7">
        <v>6</v>
      </c>
      <c r="F7">
        <v>1.59</v>
      </c>
      <c r="G7">
        <f t="shared" si="0"/>
        <v>261.88</v>
      </c>
    </row>
    <row r="8" spans="1:7" x14ac:dyDescent="0.2">
      <c r="A8" s="1">
        <v>0.59930555555555554</v>
      </c>
      <c r="B8">
        <v>0.432</v>
      </c>
      <c r="C8">
        <v>1.97</v>
      </c>
      <c r="D8">
        <v>1.97</v>
      </c>
      <c r="E8">
        <v>6</v>
      </c>
      <c r="F8">
        <v>1.59</v>
      </c>
      <c r="G8">
        <f t="shared" si="0"/>
        <v>261.88</v>
      </c>
    </row>
    <row r="9" spans="1:7" x14ac:dyDescent="0.2">
      <c r="A9" s="1">
        <v>0.59930555555555554</v>
      </c>
      <c r="B9">
        <v>0.42799999999999999</v>
      </c>
      <c r="C9">
        <v>1.4</v>
      </c>
      <c r="D9">
        <v>1.64</v>
      </c>
      <c r="E9">
        <v>6</v>
      </c>
      <c r="F9">
        <v>1.59</v>
      </c>
      <c r="G9">
        <f t="shared" si="0"/>
        <v>261.88</v>
      </c>
    </row>
    <row r="10" spans="1:7" x14ac:dyDescent="0.2">
      <c r="A10" s="1">
        <v>0.59930555555555554</v>
      </c>
      <c r="B10">
        <v>0.42799999999999999</v>
      </c>
      <c r="C10">
        <v>1.88</v>
      </c>
      <c r="D10">
        <v>1.64</v>
      </c>
      <c r="E10">
        <v>6</v>
      </c>
      <c r="F10">
        <v>1.59</v>
      </c>
      <c r="G10">
        <f t="shared" si="0"/>
        <v>261.88</v>
      </c>
    </row>
    <row r="11" spans="1:7" x14ac:dyDescent="0.2">
      <c r="A11" s="1">
        <v>0.60624999999999996</v>
      </c>
      <c r="B11">
        <v>0.42199999999999999</v>
      </c>
      <c r="C11">
        <v>1.72</v>
      </c>
      <c r="D11">
        <v>1.88</v>
      </c>
      <c r="E11">
        <v>1</v>
      </c>
      <c r="F11">
        <v>1.72</v>
      </c>
      <c r="G11">
        <f t="shared" si="0"/>
        <v>280.34000000000003</v>
      </c>
    </row>
    <row r="12" spans="1:7" x14ac:dyDescent="0.2">
      <c r="A12" s="1">
        <v>0.60624999999999996</v>
      </c>
      <c r="B12">
        <v>0.42199999999999999</v>
      </c>
      <c r="C12">
        <v>2.04</v>
      </c>
      <c r="D12">
        <v>1.88</v>
      </c>
      <c r="E12">
        <v>1</v>
      </c>
      <c r="F12">
        <v>1.72</v>
      </c>
      <c r="G12">
        <f t="shared" si="0"/>
        <v>280.34000000000003</v>
      </c>
    </row>
    <row r="13" spans="1:7" x14ac:dyDescent="0.2">
      <c r="A13" s="1">
        <v>0.60624999999999996</v>
      </c>
      <c r="B13">
        <v>0.439</v>
      </c>
      <c r="C13">
        <v>1.98</v>
      </c>
      <c r="D13">
        <v>1.98</v>
      </c>
      <c r="E13">
        <v>1</v>
      </c>
      <c r="F13">
        <v>1.72</v>
      </c>
      <c r="G13">
        <f t="shared" si="0"/>
        <v>280.34000000000003</v>
      </c>
    </row>
    <row r="14" spans="1:7" x14ac:dyDescent="0.2">
      <c r="A14" s="1">
        <v>0.60624999999999996</v>
      </c>
      <c r="B14">
        <v>0.439</v>
      </c>
      <c r="C14">
        <v>1.98</v>
      </c>
      <c r="D14">
        <v>1.98</v>
      </c>
      <c r="E14">
        <v>1</v>
      </c>
      <c r="F14">
        <v>1.72</v>
      </c>
      <c r="G14">
        <f t="shared" si="0"/>
        <v>280.34000000000003</v>
      </c>
    </row>
    <row r="15" spans="1:7" x14ac:dyDescent="0.2">
      <c r="A15" s="1">
        <v>0.61319444444444449</v>
      </c>
      <c r="B15">
        <v>0.42499999999999999</v>
      </c>
      <c r="C15">
        <v>1.69</v>
      </c>
      <c r="D15">
        <v>1.87</v>
      </c>
      <c r="E15">
        <v>1</v>
      </c>
      <c r="F15">
        <v>1.88</v>
      </c>
      <c r="G15">
        <f t="shared" si="0"/>
        <v>303.06</v>
      </c>
    </row>
    <row r="16" spans="1:7" x14ac:dyDescent="0.2">
      <c r="A16" s="1">
        <v>0.61319444444444449</v>
      </c>
      <c r="B16">
        <v>0.42499999999999999</v>
      </c>
      <c r="C16">
        <v>2.0499999999999998</v>
      </c>
      <c r="D16">
        <v>1.87</v>
      </c>
      <c r="E16">
        <v>1</v>
      </c>
      <c r="F16">
        <v>1.88</v>
      </c>
      <c r="G16">
        <f t="shared" si="0"/>
        <v>303.06</v>
      </c>
    </row>
    <row r="17" spans="1:7" x14ac:dyDescent="0.2">
      <c r="A17" s="1">
        <v>0.61319444444444449</v>
      </c>
      <c r="B17">
        <v>0.42799999999999999</v>
      </c>
      <c r="C17">
        <v>2.02</v>
      </c>
      <c r="D17">
        <v>2.02</v>
      </c>
      <c r="E17">
        <v>1</v>
      </c>
      <c r="F17">
        <v>1.88</v>
      </c>
      <c r="G17">
        <f t="shared" si="0"/>
        <v>303.06</v>
      </c>
    </row>
    <row r="18" spans="1:7" x14ac:dyDescent="0.2">
      <c r="A18" s="1">
        <v>0.61319444444444449</v>
      </c>
      <c r="B18">
        <v>0.42799999999999999</v>
      </c>
      <c r="C18">
        <v>2.02</v>
      </c>
      <c r="D18">
        <v>2.02</v>
      </c>
      <c r="E18">
        <v>1</v>
      </c>
      <c r="F18">
        <v>1.88</v>
      </c>
      <c r="G18">
        <f t="shared" si="0"/>
        <v>303.06</v>
      </c>
    </row>
    <row r="19" spans="1:7" x14ac:dyDescent="0.2">
      <c r="A19" s="1">
        <v>0.62083333333333335</v>
      </c>
      <c r="B19">
        <v>0.42299999999999999</v>
      </c>
      <c r="C19">
        <v>1.95</v>
      </c>
      <c r="D19">
        <v>1.95</v>
      </c>
      <c r="E19">
        <v>10</v>
      </c>
      <c r="F19">
        <v>1.89</v>
      </c>
      <c r="G19">
        <f t="shared" si="0"/>
        <v>304.48</v>
      </c>
    </row>
    <row r="20" spans="1:7" x14ac:dyDescent="0.2">
      <c r="A20" s="1">
        <v>0.62083333333333335</v>
      </c>
      <c r="B20">
        <v>0.42299999999999999</v>
      </c>
      <c r="C20">
        <v>1.95</v>
      </c>
      <c r="D20">
        <v>1.95</v>
      </c>
      <c r="E20">
        <v>10</v>
      </c>
      <c r="F20">
        <v>1.89</v>
      </c>
      <c r="G20">
        <f t="shared" si="0"/>
        <v>304.48</v>
      </c>
    </row>
    <row r="21" spans="1:7" x14ac:dyDescent="0.2">
      <c r="A21" s="1">
        <v>0.62083333333333335</v>
      </c>
      <c r="B21">
        <v>0.432</v>
      </c>
      <c r="C21">
        <v>1.7</v>
      </c>
      <c r="D21">
        <v>1.92</v>
      </c>
      <c r="E21">
        <v>10</v>
      </c>
      <c r="F21">
        <v>1.89</v>
      </c>
      <c r="G21">
        <f t="shared" si="0"/>
        <v>304.48</v>
      </c>
    </row>
    <row r="22" spans="1:7" x14ac:dyDescent="0.2">
      <c r="A22" s="1">
        <v>0.62083333333333335</v>
      </c>
      <c r="B22">
        <v>0.432</v>
      </c>
      <c r="C22">
        <v>1.7</v>
      </c>
      <c r="D22">
        <v>1.92</v>
      </c>
      <c r="E22">
        <v>10</v>
      </c>
      <c r="F22">
        <v>1.89</v>
      </c>
      <c r="G22">
        <f t="shared" si="0"/>
        <v>304.48</v>
      </c>
    </row>
    <row r="23" spans="1:7" x14ac:dyDescent="0.2">
      <c r="A23" s="1">
        <v>0.62708333333333333</v>
      </c>
      <c r="B23">
        <v>0.42899999999999999</v>
      </c>
      <c r="C23">
        <v>2.0099999999999998</v>
      </c>
      <c r="D23">
        <v>2.0099999999999998</v>
      </c>
      <c r="E23">
        <v>7</v>
      </c>
      <c r="F23">
        <v>1.82</v>
      </c>
      <c r="G23">
        <f t="shared" si="0"/>
        <v>294.54000000000002</v>
      </c>
    </row>
    <row r="24" spans="1:7" x14ac:dyDescent="0.2">
      <c r="A24" s="1">
        <v>0.62708333333333333</v>
      </c>
      <c r="B24">
        <v>0.42899999999999999</v>
      </c>
      <c r="C24">
        <v>2.0099999999999998</v>
      </c>
      <c r="D24">
        <v>2.0099999999999998</v>
      </c>
      <c r="E24">
        <v>7</v>
      </c>
      <c r="F24">
        <v>1.82</v>
      </c>
      <c r="G24">
        <f t="shared" si="0"/>
        <v>294.54000000000002</v>
      </c>
    </row>
    <row r="25" spans="1:7" x14ac:dyDescent="0.2">
      <c r="A25" s="1">
        <v>0.62708333333333333</v>
      </c>
      <c r="B25">
        <v>0.42799999999999999</v>
      </c>
      <c r="C25">
        <v>2.0299999999999998</v>
      </c>
      <c r="D25">
        <v>2.0299999999999998</v>
      </c>
      <c r="E25">
        <v>7</v>
      </c>
      <c r="F25">
        <v>1.82</v>
      </c>
      <c r="G25">
        <f t="shared" si="0"/>
        <v>294.54000000000002</v>
      </c>
    </row>
    <row r="26" spans="1:7" x14ac:dyDescent="0.2">
      <c r="A26" s="1">
        <v>0.62708333333333333</v>
      </c>
      <c r="B26">
        <v>0.42799999999999999</v>
      </c>
      <c r="C26">
        <v>2.0299999999999998</v>
      </c>
      <c r="D26">
        <v>2.0299999999999998</v>
      </c>
      <c r="E26">
        <v>7</v>
      </c>
      <c r="F26">
        <v>1.82</v>
      </c>
      <c r="G26">
        <f t="shared" si="0"/>
        <v>294.54000000000002</v>
      </c>
    </row>
    <row r="27" spans="1:7" x14ac:dyDescent="0.2">
      <c r="A27" s="1">
        <v>0.63402777777777775</v>
      </c>
      <c r="B27">
        <v>0.435</v>
      </c>
      <c r="C27">
        <v>1.71</v>
      </c>
      <c r="D27">
        <v>1.89</v>
      </c>
      <c r="E27">
        <v>3</v>
      </c>
      <c r="F27">
        <v>1.9</v>
      </c>
      <c r="G27">
        <f t="shared" si="0"/>
        <v>305.90000000000003</v>
      </c>
    </row>
    <row r="28" spans="1:7" x14ac:dyDescent="0.2">
      <c r="A28" s="1">
        <v>0.63402777777777775</v>
      </c>
      <c r="B28">
        <v>0.435</v>
      </c>
      <c r="C28">
        <v>2.0699999999999998</v>
      </c>
      <c r="D28">
        <v>1.89</v>
      </c>
      <c r="E28">
        <v>3</v>
      </c>
      <c r="F28">
        <v>1.9</v>
      </c>
      <c r="G28">
        <f t="shared" si="0"/>
        <v>305.90000000000003</v>
      </c>
    </row>
    <row r="29" spans="1:7" x14ac:dyDescent="0.2">
      <c r="A29" s="1">
        <v>0.63402777777777775</v>
      </c>
      <c r="B29">
        <v>0.41399999999999998</v>
      </c>
      <c r="C29">
        <v>1.63</v>
      </c>
      <c r="D29">
        <v>1.89</v>
      </c>
      <c r="E29">
        <v>3</v>
      </c>
      <c r="F29">
        <v>1.9</v>
      </c>
      <c r="G29">
        <f t="shared" si="0"/>
        <v>305.90000000000003</v>
      </c>
    </row>
    <row r="30" spans="1:7" x14ac:dyDescent="0.2">
      <c r="A30" s="1">
        <v>0.63402777777777775</v>
      </c>
      <c r="B30">
        <v>0.41399999999999998</v>
      </c>
      <c r="C30">
        <v>2.02</v>
      </c>
      <c r="D30">
        <v>1.89</v>
      </c>
      <c r="E30">
        <v>3</v>
      </c>
      <c r="F30">
        <v>1.9</v>
      </c>
      <c r="G30">
        <f t="shared" si="0"/>
        <v>305.90000000000003</v>
      </c>
    </row>
    <row r="31" spans="1:7" x14ac:dyDescent="0.2">
      <c r="A31" s="1">
        <v>0.64097222222222228</v>
      </c>
      <c r="B31">
        <v>0.44</v>
      </c>
      <c r="C31">
        <v>1.75</v>
      </c>
      <c r="D31">
        <v>1.89</v>
      </c>
      <c r="E31">
        <v>4</v>
      </c>
      <c r="F31">
        <v>1.96</v>
      </c>
      <c r="G31">
        <f t="shared" si="0"/>
        <v>314.42</v>
      </c>
    </row>
    <row r="32" spans="1:7" x14ac:dyDescent="0.2">
      <c r="A32" s="1">
        <v>0.64097222222222228</v>
      </c>
      <c r="B32">
        <v>0.44</v>
      </c>
      <c r="C32">
        <v>2.02</v>
      </c>
      <c r="D32">
        <v>1.89</v>
      </c>
      <c r="E32">
        <v>4</v>
      </c>
      <c r="F32">
        <v>1.96</v>
      </c>
      <c r="G32">
        <f t="shared" si="0"/>
        <v>314.42</v>
      </c>
    </row>
    <row r="33" spans="1:7" x14ac:dyDescent="0.2">
      <c r="A33" s="1">
        <v>0.64097222222222228</v>
      </c>
      <c r="B33">
        <v>0.41899999999999998</v>
      </c>
      <c r="C33">
        <v>1.7</v>
      </c>
      <c r="D33">
        <v>1.89</v>
      </c>
      <c r="E33">
        <v>4</v>
      </c>
      <c r="F33">
        <v>1.96</v>
      </c>
      <c r="G33">
        <f t="shared" si="0"/>
        <v>314.42</v>
      </c>
    </row>
    <row r="34" spans="1:7" x14ac:dyDescent="0.2">
      <c r="A34" s="1">
        <v>0.64097222222222228</v>
      </c>
      <c r="B34">
        <v>0.41899999999999998</v>
      </c>
      <c r="C34">
        <v>2.0699999999999998</v>
      </c>
      <c r="D34">
        <v>1.89</v>
      </c>
      <c r="E34">
        <v>4</v>
      </c>
      <c r="F34">
        <v>1.96</v>
      </c>
      <c r="G34">
        <f t="shared" si="0"/>
        <v>314.42</v>
      </c>
    </row>
    <row r="35" spans="1:7" x14ac:dyDescent="0.2">
      <c r="A35" s="1">
        <v>0.6479166666666667</v>
      </c>
      <c r="B35">
        <v>0.42899999999999999</v>
      </c>
      <c r="C35">
        <v>2.02</v>
      </c>
      <c r="D35">
        <v>2.02</v>
      </c>
      <c r="E35">
        <v>6</v>
      </c>
      <c r="F35">
        <v>1.95</v>
      </c>
      <c r="G35">
        <f t="shared" si="0"/>
        <v>313</v>
      </c>
    </row>
    <row r="36" spans="1:7" x14ac:dyDescent="0.2">
      <c r="A36" s="1">
        <v>0.6479166666666667</v>
      </c>
      <c r="B36">
        <v>0.42899999999999999</v>
      </c>
      <c r="C36">
        <v>2.02</v>
      </c>
      <c r="D36">
        <v>2.02</v>
      </c>
      <c r="E36">
        <v>6</v>
      </c>
      <c r="F36">
        <v>1.95</v>
      </c>
      <c r="G36">
        <f t="shared" si="0"/>
        <v>313</v>
      </c>
    </row>
    <row r="37" spans="1:7" x14ac:dyDescent="0.2">
      <c r="A37" s="1">
        <v>0.6479166666666667</v>
      </c>
      <c r="B37">
        <v>0.42899999999999999</v>
      </c>
      <c r="C37">
        <v>2.02</v>
      </c>
      <c r="D37">
        <v>2.02</v>
      </c>
      <c r="E37">
        <v>6</v>
      </c>
      <c r="F37">
        <v>1.95</v>
      </c>
      <c r="G37">
        <f t="shared" si="0"/>
        <v>313</v>
      </c>
    </row>
    <row r="38" spans="1:7" x14ac:dyDescent="0.2">
      <c r="A38" s="1">
        <v>0.6479166666666667</v>
      </c>
      <c r="B38">
        <v>0.42899999999999999</v>
      </c>
      <c r="C38">
        <v>2.02</v>
      </c>
      <c r="D38">
        <v>2.02</v>
      </c>
      <c r="E38">
        <v>6</v>
      </c>
      <c r="F38">
        <v>1.95</v>
      </c>
      <c r="G38">
        <f t="shared" si="0"/>
        <v>313</v>
      </c>
    </row>
    <row r="39" spans="1:7" x14ac:dyDescent="0.2">
      <c r="A39" s="1">
        <v>0.65486111111111112</v>
      </c>
      <c r="B39">
        <v>0.42799999999999999</v>
      </c>
      <c r="C39">
        <v>2.0099999999999998</v>
      </c>
      <c r="D39">
        <v>2.0099999999999998</v>
      </c>
      <c r="E39">
        <v>6</v>
      </c>
      <c r="F39">
        <v>1.89</v>
      </c>
      <c r="G39">
        <f t="shared" si="0"/>
        <v>304.48</v>
      </c>
    </row>
    <row r="40" spans="1:7" x14ac:dyDescent="0.2">
      <c r="A40" s="1">
        <v>0.65486111111111112</v>
      </c>
      <c r="B40">
        <v>0.42799999999999999</v>
      </c>
      <c r="C40">
        <v>2.0099999999999998</v>
      </c>
      <c r="D40">
        <v>2.0099999999999998</v>
      </c>
      <c r="E40">
        <v>6</v>
      </c>
      <c r="F40">
        <v>1.89</v>
      </c>
      <c r="G40">
        <f t="shared" si="0"/>
        <v>304.48</v>
      </c>
    </row>
    <row r="41" spans="1:7" x14ac:dyDescent="0.2">
      <c r="A41" s="1">
        <v>0.65486111111111112</v>
      </c>
      <c r="B41">
        <v>0.42599999999999999</v>
      </c>
      <c r="C41">
        <v>1.69</v>
      </c>
      <c r="D41">
        <v>1.86</v>
      </c>
      <c r="E41">
        <v>6</v>
      </c>
      <c r="F41">
        <v>1.89</v>
      </c>
      <c r="G41">
        <f t="shared" si="0"/>
        <v>304.48</v>
      </c>
    </row>
    <row r="42" spans="1:7" x14ac:dyDescent="0.2">
      <c r="A42" s="1">
        <v>0.65486111111111112</v>
      </c>
      <c r="B42">
        <v>0.42599999999999999</v>
      </c>
      <c r="C42">
        <v>2.02</v>
      </c>
      <c r="D42">
        <v>1.86</v>
      </c>
      <c r="E42">
        <v>6</v>
      </c>
      <c r="F42">
        <v>1.89</v>
      </c>
      <c r="G42">
        <f t="shared" si="0"/>
        <v>304.48</v>
      </c>
    </row>
    <row r="43" spans="1:7" x14ac:dyDescent="0.2">
      <c r="A43" s="1">
        <v>0.66180555555555554</v>
      </c>
      <c r="B43">
        <v>0.42599999999999999</v>
      </c>
      <c r="C43">
        <v>1.73</v>
      </c>
      <c r="D43">
        <v>1.91</v>
      </c>
      <c r="E43">
        <v>1</v>
      </c>
      <c r="F43">
        <v>1.96</v>
      </c>
      <c r="G43">
        <f t="shared" si="0"/>
        <v>314.42</v>
      </c>
    </row>
    <row r="44" spans="1:7" x14ac:dyDescent="0.2">
      <c r="A44" s="1">
        <v>0.66180555555555554</v>
      </c>
      <c r="B44">
        <v>0.42599999999999999</v>
      </c>
      <c r="C44">
        <v>2.08</v>
      </c>
      <c r="D44">
        <v>1.91</v>
      </c>
      <c r="E44">
        <v>1</v>
      </c>
      <c r="F44">
        <v>1.96</v>
      </c>
      <c r="G44">
        <f t="shared" si="0"/>
        <v>314.42</v>
      </c>
    </row>
    <row r="45" spans="1:7" x14ac:dyDescent="0.2">
      <c r="A45" s="1">
        <v>0.66180555555555554</v>
      </c>
      <c r="B45">
        <v>0.42299999999999999</v>
      </c>
      <c r="C45">
        <v>1.7</v>
      </c>
      <c r="D45">
        <v>1.89</v>
      </c>
      <c r="E45">
        <v>1</v>
      </c>
      <c r="F45">
        <v>1.96</v>
      </c>
      <c r="G45">
        <f t="shared" si="0"/>
        <v>314.42</v>
      </c>
    </row>
    <row r="46" spans="1:7" x14ac:dyDescent="0.2">
      <c r="A46" s="1">
        <v>0.66180555555555554</v>
      </c>
      <c r="B46">
        <v>0.42299999999999999</v>
      </c>
      <c r="C46">
        <v>2.0699999999999998</v>
      </c>
      <c r="D46">
        <v>1.89</v>
      </c>
      <c r="E46">
        <v>1</v>
      </c>
      <c r="F46">
        <v>1.96</v>
      </c>
      <c r="G46">
        <f t="shared" si="0"/>
        <v>314.42</v>
      </c>
    </row>
    <row r="47" spans="1:7" x14ac:dyDescent="0.2">
      <c r="A47" s="1">
        <v>0.66874999999999996</v>
      </c>
      <c r="B47">
        <v>0.42299999999999999</v>
      </c>
      <c r="C47">
        <v>1.72</v>
      </c>
      <c r="D47">
        <v>1.93</v>
      </c>
      <c r="E47">
        <v>1</v>
      </c>
      <c r="F47">
        <v>1.94</v>
      </c>
      <c r="G47">
        <f>142*F48+36.1</f>
        <v>311.58000000000004</v>
      </c>
    </row>
    <row r="48" spans="1:7" x14ac:dyDescent="0.2">
      <c r="A48" s="1">
        <v>0.66874999999999996</v>
      </c>
      <c r="B48">
        <v>0.42299999999999999</v>
      </c>
      <c r="C48">
        <v>2.14</v>
      </c>
      <c r="D48">
        <v>1.93</v>
      </c>
      <c r="E48">
        <v>1</v>
      </c>
      <c r="F48">
        <v>1.94</v>
      </c>
      <c r="G48">
        <f>142*F49+36.1</f>
        <v>311.58000000000004</v>
      </c>
    </row>
    <row r="49" spans="1:7" x14ac:dyDescent="0.2">
      <c r="A49" s="1">
        <v>0.66874999999999996</v>
      </c>
      <c r="B49">
        <v>0.42799999999999999</v>
      </c>
      <c r="C49">
        <v>1.61</v>
      </c>
      <c r="D49">
        <v>1.61</v>
      </c>
      <c r="E49">
        <v>1</v>
      </c>
      <c r="F49">
        <v>1.94</v>
      </c>
      <c r="G49">
        <f t="shared" si="0"/>
        <v>311.58000000000004</v>
      </c>
    </row>
    <row r="50" spans="1:7" x14ac:dyDescent="0.2">
      <c r="A50" s="1">
        <v>0.66874999999999996</v>
      </c>
      <c r="B50">
        <v>0.42799999999999999</v>
      </c>
      <c r="C50">
        <v>1.61</v>
      </c>
      <c r="D50">
        <v>1.61</v>
      </c>
      <c r="E50">
        <v>1</v>
      </c>
      <c r="F50">
        <v>1.94</v>
      </c>
      <c r="G50">
        <f t="shared" si="0"/>
        <v>311.58000000000004</v>
      </c>
    </row>
    <row r="51" spans="1:7" x14ac:dyDescent="0.2">
      <c r="A51" s="1">
        <v>0.67569444444444449</v>
      </c>
      <c r="B51">
        <v>0.42799999999999999</v>
      </c>
      <c r="C51">
        <v>1.97</v>
      </c>
      <c r="D51">
        <v>1.97</v>
      </c>
      <c r="E51">
        <v>4</v>
      </c>
      <c r="F51">
        <v>2.02</v>
      </c>
      <c r="G51">
        <f t="shared" si="0"/>
        <v>322.94</v>
      </c>
    </row>
    <row r="52" spans="1:7" x14ac:dyDescent="0.2">
      <c r="A52" s="1">
        <v>0.67569444444444449</v>
      </c>
      <c r="B52">
        <v>0.42799999999999999</v>
      </c>
      <c r="C52">
        <v>1.97</v>
      </c>
      <c r="D52">
        <v>1.97</v>
      </c>
      <c r="E52">
        <v>4</v>
      </c>
      <c r="F52">
        <v>2.02</v>
      </c>
      <c r="G52">
        <f t="shared" si="0"/>
        <v>322.94</v>
      </c>
    </row>
    <row r="53" spans="1:7" x14ac:dyDescent="0.2">
      <c r="A53" s="1">
        <v>0.67569444444444449</v>
      </c>
      <c r="B53">
        <v>0.42399999999999999</v>
      </c>
      <c r="C53">
        <v>1.81</v>
      </c>
      <c r="D53">
        <v>1.81</v>
      </c>
      <c r="E53">
        <v>4</v>
      </c>
      <c r="F53">
        <v>2.02</v>
      </c>
      <c r="G53">
        <f t="shared" si="0"/>
        <v>322.94</v>
      </c>
    </row>
    <row r="54" spans="1:7" x14ac:dyDescent="0.2">
      <c r="A54" s="1">
        <v>0.67569444444444449</v>
      </c>
      <c r="B54">
        <v>0.42399999999999999</v>
      </c>
      <c r="C54">
        <v>1.81</v>
      </c>
      <c r="D54">
        <v>1.81</v>
      </c>
      <c r="E54">
        <v>4</v>
      </c>
      <c r="F54">
        <v>2.02</v>
      </c>
      <c r="G54">
        <f t="shared" si="0"/>
        <v>322.94</v>
      </c>
    </row>
    <row r="55" spans="1:7" x14ac:dyDescent="0.2">
      <c r="A55" s="1">
        <v>0.68263888888888891</v>
      </c>
      <c r="B55">
        <v>0.42599999999999999</v>
      </c>
      <c r="C55">
        <v>1.65</v>
      </c>
      <c r="D55">
        <v>1.85</v>
      </c>
      <c r="E55">
        <v>3</v>
      </c>
      <c r="F55">
        <v>1.89</v>
      </c>
      <c r="G55">
        <f t="shared" si="0"/>
        <v>304.48</v>
      </c>
    </row>
    <row r="56" spans="1:7" x14ac:dyDescent="0.2">
      <c r="A56" s="1">
        <v>0.68263888888888891</v>
      </c>
      <c r="B56">
        <v>0.42599999999999999</v>
      </c>
      <c r="C56">
        <v>2.0499999999999998</v>
      </c>
      <c r="D56">
        <v>1.85</v>
      </c>
      <c r="E56">
        <v>3</v>
      </c>
      <c r="F56">
        <v>1.89</v>
      </c>
      <c r="G56">
        <f t="shared" si="0"/>
        <v>304.48</v>
      </c>
    </row>
    <row r="57" spans="1:7" x14ac:dyDescent="0.2">
      <c r="A57" s="1">
        <v>0.68263888888888891</v>
      </c>
      <c r="B57">
        <v>0.43099999999999999</v>
      </c>
      <c r="C57">
        <v>2.0299999999999998</v>
      </c>
      <c r="D57">
        <v>2.0299999999999998</v>
      </c>
      <c r="E57">
        <v>3</v>
      </c>
      <c r="F57">
        <v>1.89</v>
      </c>
      <c r="G57">
        <f t="shared" si="0"/>
        <v>304.48</v>
      </c>
    </row>
    <row r="58" spans="1:7" x14ac:dyDescent="0.2">
      <c r="A58" s="1">
        <v>0.68263888888888891</v>
      </c>
      <c r="B58">
        <v>0.43099999999999999</v>
      </c>
      <c r="C58">
        <v>2.0299999999999998</v>
      </c>
      <c r="D58">
        <v>2.0299999999999998</v>
      </c>
      <c r="E58">
        <v>3</v>
      </c>
      <c r="F58">
        <v>1.89</v>
      </c>
      <c r="G58">
        <f t="shared" si="0"/>
        <v>304.48</v>
      </c>
    </row>
    <row r="59" spans="1:7" x14ac:dyDescent="0.2">
      <c r="A59" s="1">
        <v>0.68958333333333333</v>
      </c>
      <c r="B59">
        <v>0.44400000000000001</v>
      </c>
      <c r="C59">
        <v>1.67</v>
      </c>
      <c r="D59">
        <v>1.86</v>
      </c>
      <c r="E59">
        <v>10</v>
      </c>
      <c r="F59">
        <v>1.8</v>
      </c>
      <c r="G59">
        <f t="shared" si="0"/>
        <v>291.7</v>
      </c>
    </row>
    <row r="60" spans="1:7" x14ac:dyDescent="0.2">
      <c r="A60" s="1">
        <v>0.68958333333333333</v>
      </c>
      <c r="B60">
        <v>0.44400000000000001</v>
      </c>
      <c r="C60">
        <v>2.0499999999999998</v>
      </c>
      <c r="D60">
        <v>1.86</v>
      </c>
      <c r="E60">
        <v>10</v>
      </c>
      <c r="F60">
        <v>1.8</v>
      </c>
      <c r="G60">
        <f t="shared" si="0"/>
        <v>291.7</v>
      </c>
    </row>
    <row r="61" spans="1:7" x14ac:dyDescent="0.2">
      <c r="A61" s="1">
        <v>0.68958333333333333</v>
      </c>
      <c r="B61">
        <v>0.40799999999999997</v>
      </c>
      <c r="C61">
        <v>1.76</v>
      </c>
      <c r="D61">
        <v>1.76</v>
      </c>
      <c r="E61">
        <v>10</v>
      </c>
      <c r="F61">
        <v>1.8</v>
      </c>
      <c r="G61">
        <f t="shared" si="0"/>
        <v>291.7</v>
      </c>
    </row>
    <row r="62" spans="1:7" x14ac:dyDescent="0.2">
      <c r="A62" s="1">
        <v>0.68958333333333333</v>
      </c>
      <c r="B62">
        <v>0.40799999999999997</v>
      </c>
      <c r="C62">
        <v>1.76</v>
      </c>
      <c r="D62">
        <v>1.76</v>
      </c>
      <c r="E62">
        <v>10</v>
      </c>
      <c r="F62">
        <v>1.8</v>
      </c>
      <c r="G62">
        <f t="shared" si="0"/>
        <v>291.7</v>
      </c>
    </row>
    <row r="63" spans="1:7" x14ac:dyDescent="0.2">
      <c r="A63" s="1">
        <v>0.69722222222222219</v>
      </c>
      <c r="B63">
        <v>0.43099999999999999</v>
      </c>
      <c r="C63">
        <v>1.93</v>
      </c>
      <c r="D63">
        <v>1.93</v>
      </c>
      <c r="E63">
        <v>1</v>
      </c>
      <c r="F63">
        <v>1.82</v>
      </c>
      <c r="G63">
        <f t="shared" si="0"/>
        <v>294.54000000000002</v>
      </c>
    </row>
    <row r="64" spans="1:7" x14ac:dyDescent="0.2">
      <c r="A64" s="1">
        <v>0.69722222222222219</v>
      </c>
      <c r="B64">
        <v>0.43099999999999999</v>
      </c>
      <c r="C64">
        <v>1.93</v>
      </c>
      <c r="D64">
        <v>1.93</v>
      </c>
      <c r="E64">
        <v>1</v>
      </c>
      <c r="F64">
        <v>1.82</v>
      </c>
      <c r="G64">
        <f t="shared" si="0"/>
        <v>294.54000000000002</v>
      </c>
    </row>
    <row r="65" spans="1:7" x14ac:dyDescent="0.2">
      <c r="A65" s="1">
        <v>0.69722222222222219</v>
      </c>
      <c r="B65">
        <v>0.42499999999999999</v>
      </c>
      <c r="C65">
        <v>1.7</v>
      </c>
      <c r="D65">
        <v>1.89</v>
      </c>
      <c r="E65">
        <v>1</v>
      </c>
      <c r="F65">
        <v>1.82</v>
      </c>
      <c r="G65">
        <f t="shared" si="0"/>
        <v>294.54000000000002</v>
      </c>
    </row>
    <row r="66" spans="1:7" x14ac:dyDescent="0.2">
      <c r="A66" s="1">
        <v>0.69722222222222219</v>
      </c>
      <c r="B66">
        <v>0.42499999999999999</v>
      </c>
      <c r="C66">
        <v>2.0699999999999998</v>
      </c>
      <c r="D66">
        <v>1.89</v>
      </c>
      <c r="E66">
        <v>1</v>
      </c>
      <c r="F66">
        <v>1.82</v>
      </c>
      <c r="G66">
        <f t="shared" si="0"/>
        <v>294.54000000000002</v>
      </c>
    </row>
    <row r="67" spans="1:7" x14ac:dyDescent="0.2">
      <c r="A67" s="1">
        <v>0.72430555555555554</v>
      </c>
      <c r="B67">
        <v>0.432</v>
      </c>
      <c r="C67">
        <v>1.63</v>
      </c>
      <c r="D67">
        <v>1.84</v>
      </c>
      <c r="E67">
        <v>9</v>
      </c>
      <c r="F67">
        <v>1.89</v>
      </c>
      <c r="G67">
        <f t="shared" si="0"/>
        <v>304.48</v>
      </c>
    </row>
    <row r="68" spans="1:7" x14ac:dyDescent="0.2">
      <c r="A68" s="1">
        <v>0.72430555555555554</v>
      </c>
      <c r="B68">
        <v>0.432</v>
      </c>
      <c r="C68">
        <v>2.04</v>
      </c>
      <c r="D68">
        <v>1.84</v>
      </c>
      <c r="E68">
        <v>9</v>
      </c>
      <c r="F68">
        <v>1.89</v>
      </c>
      <c r="G68">
        <f t="shared" ref="G68:G131" si="1">142*F68+36.1</f>
        <v>304.48</v>
      </c>
    </row>
    <row r="69" spans="1:7" x14ac:dyDescent="0.2">
      <c r="A69" s="1">
        <v>0.72430555555555554</v>
      </c>
      <c r="B69">
        <v>0.42099999999999999</v>
      </c>
      <c r="C69">
        <v>1.69</v>
      </c>
      <c r="D69">
        <v>1.89</v>
      </c>
      <c r="E69">
        <v>9</v>
      </c>
      <c r="F69">
        <v>1.89</v>
      </c>
      <c r="G69">
        <f t="shared" si="1"/>
        <v>304.48</v>
      </c>
    </row>
    <row r="70" spans="1:7" x14ac:dyDescent="0.2">
      <c r="A70" s="1">
        <v>0.72430555555555554</v>
      </c>
      <c r="B70">
        <v>0.42099999999999999</v>
      </c>
      <c r="C70">
        <v>2.0499999999999998</v>
      </c>
      <c r="D70">
        <v>1.89</v>
      </c>
      <c r="E70">
        <v>9</v>
      </c>
      <c r="F70">
        <v>1.89</v>
      </c>
      <c r="G70">
        <f t="shared" si="1"/>
        <v>304.48</v>
      </c>
    </row>
    <row r="71" spans="1:7" x14ac:dyDescent="0.2">
      <c r="A71" s="1">
        <v>0.73124999999999996</v>
      </c>
      <c r="B71">
        <v>0.42199999999999999</v>
      </c>
      <c r="C71">
        <v>1.73</v>
      </c>
      <c r="D71">
        <v>1.9</v>
      </c>
      <c r="E71">
        <v>4</v>
      </c>
      <c r="F71">
        <v>1.67</v>
      </c>
      <c r="G71">
        <f t="shared" si="1"/>
        <v>273.24</v>
      </c>
    </row>
    <row r="72" spans="1:7" x14ac:dyDescent="0.2">
      <c r="A72" s="1">
        <v>0.73124999999999996</v>
      </c>
      <c r="B72">
        <v>0.42199999999999999</v>
      </c>
      <c r="C72">
        <v>2.0699999999999998</v>
      </c>
      <c r="D72">
        <v>1.9</v>
      </c>
      <c r="E72">
        <v>4</v>
      </c>
      <c r="F72">
        <v>1.67</v>
      </c>
      <c r="G72">
        <f t="shared" si="1"/>
        <v>273.24</v>
      </c>
    </row>
    <row r="73" spans="1:7" x14ac:dyDescent="0.2">
      <c r="A73" s="1">
        <v>0.73124999999999996</v>
      </c>
      <c r="B73">
        <v>0.41499999999999998</v>
      </c>
      <c r="C73">
        <v>1.73</v>
      </c>
      <c r="D73">
        <v>1.92</v>
      </c>
      <c r="E73">
        <v>4</v>
      </c>
      <c r="F73">
        <v>1.67</v>
      </c>
      <c r="G73">
        <f t="shared" si="1"/>
        <v>273.24</v>
      </c>
    </row>
    <row r="74" spans="1:7" x14ac:dyDescent="0.2">
      <c r="A74" s="1">
        <v>0.73124999999999996</v>
      </c>
      <c r="B74">
        <v>0.41499999999999998</v>
      </c>
      <c r="C74">
        <v>2.11</v>
      </c>
      <c r="D74">
        <v>1.92</v>
      </c>
      <c r="E74">
        <v>4</v>
      </c>
      <c r="F74">
        <v>1.67</v>
      </c>
      <c r="G74">
        <f t="shared" si="1"/>
        <v>273.24</v>
      </c>
    </row>
    <row r="75" spans="1:7" x14ac:dyDescent="0.2">
      <c r="A75" s="1">
        <v>0.73819444444444449</v>
      </c>
      <c r="B75">
        <v>0.441</v>
      </c>
      <c r="C75">
        <v>2</v>
      </c>
      <c r="D75">
        <v>2</v>
      </c>
      <c r="E75">
        <v>10</v>
      </c>
      <c r="F75">
        <v>1.76</v>
      </c>
      <c r="G75">
        <f t="shared" si="1"/>
        <v>286.02</v>
      </c>
    </row>
    <row r="76" spans="1:7" x14ac:dyDescent="0.2">
      <c r="A76" s="1">
        <v>0.73819444444444449</v>
      </c>
      <c r="B76">
        <v>0.441</v>
      </c>
      <c r="C76">
        <v>2</v>
      </c>
      <c r="D76">
        <v>2</v>
      </c>
      <c r="E76">
        <v>10</v>
      </c>
      <c r="F76">
        <v>1.76</v>
      </c>
      <c r="G76">
        <f t="shared" si="1"/>
        <v>286.02</v>
      </c>
    </row>
    <row r="77" spans="1:7" x14ac:dyDescent="0.2">
      <c r="A77" s="1">
        <v>0.73819444444444449</v>
      </c>
      <c r="B77">
        <v>0.41899999999999998</v>
      </c>
      <c r="C77">
        <v>1.47</v>
      </c>
      <c r="D77">
        <v>1.76</v>
      </c>
      <c r="E77">
        <v>10</v>
      </c>
      <c r="F77">
        <v>1.76</v>
      </c>
      <c r="G77">
        <f t="shared" si="1"/>
        <v>286.02</v>
      </c>
    </row>
    <row r="78" spans="1:7" x14ac:dyDescent="0.2">
      <c r="A78" s="1">
        <v>0.73819444444444449</v>
      </c>
      <c r="B78">
        <v>0.41899999999999998</v>
      </c>
      <c r="C78">
        <v>1.94</v>
      </c>
      <c r="D78">
        <v>1.76</v>
      </c>
      <c r="E78">
        <v>10</v>
      </c>
      <c r="F78">
        <v>1.76</v>
      </c>
      <c r="G78">
        <f t="shared" si="1"/>
        <v>286.02</v>
      </c>
    </row>
    <row r="79" spans="1:7" x14ac:dyDescent="0.2">
      <c r="A79" s="1">
        <v>0.74513888888888891</v>
      </c>
      <c r="B79">
        <v>0.42799999999999999</v>
      </c>
      <c r="C79">
        <v>1.72</v>
      </c>
      <c r="D79">
        <v>1.88</v>
      </c>
      <c r="E79">
        <v>3</v>
      </c>
      <c r="F79">
        <v>1.83</v>
      </c>
      <c r="G79">
        <f t="shared" si="1"/>
        <v>295.96000000000004</v>
      </c>
    </row>
    <row r="80" spans="1:7" x14ac:dyDescent="0.2">
      <c r="A80" s="1">
        <v>0.74513888888888891</v>
      </c>
      <c r="B80">
        <v>0.42799999999999999</v>
      </c>
      <c r="C80">
        <v>2.04</v>
      </c>
      <c r="D80">
        <v>1.88</v>
      </c>
      <c r="E80">
        <v>3</v>
      </c>
      <c r="F80">
        <v>1.83</v>
      </c>
      <c r="G80">
        <f t="shared" si="1"/>
        <v>295.96000000000004</v>
      </c>
    </row>
    <row r="81" spans="1:7" x14ac:dyDescent="0.2">
      <c r="A81" s="1">
        <v>0.74513888888888891</v>
      </c>
      <c r="B81">
        <v>0.41899999999999998</v>
      </c>
      <c r="C81">
        <v>1.74</v>
      </c>
      <c r="D81">
        <v>1.88</v>
      </c>
      <c r="E81">
        <v>3</v>
      </c>
      <c r="F81">
        <v>1.83</v>
      </c>
      <c r="G81">
        <f t="shared" si="1"/>
        <v>295.96000000000004</v>
      </c>
    </row>
    <row r="82" spans="1:7" x14ac:dyDescent="0.2">
      <c r="A82" s="1">
        <v>0.74513888888888891</v>
      </c>
      <c r="B82">
        <v>0.41899999999999998</v>
      </c>
      <c r="C82">
        <v>2.02</v>
      </c>
      <c r="D82">
        <v>1.88</v>
      </c>
      <c r="E82">
        <v>3</v>
      </c>
      <c r="F82">
        <v>1.83</v>
      </c>
      <c r="G82">
        <f t="shared" si="1"/>
        <v>295.96000000000004</v>
      </c>
    </row>
    <row r="83" spans="1:7" x14ac:dyDescent="0.2">
      <c r="A83" s="1">
        <v>0.75208333333333333</v>
      </c>
      <c r="B83">
        <v>0.441</v>
      </c>
      <c r="C83">
        <v>1.68</v>
      </c>
      <c r="D83">
        <v>1.86</v>
      </c>
      <c r="E83">
        <v>10</v>
      </c>
      <c r="F83">
        <v>1.85</v>
      </c>
      <c r="G83">
        <f t="shared" si="1"/>
        <v>298.8</v>
      </c>
    </row>
    <row r="84" spans="1:7" x14ac:dyDescent="0.2">
      <c r="A84" s="1">
        <v>0.75208333333333333</v>
      </c>
      <c r="B84">
        <v>0.441</v>
      </c>
      <c r="C84">
        <v>2.06</v>
      </c>
      <c r="D84">
        <v>1.86</v>
      </c>
      <c r="E84">
        <v>10</v>
      </c>
      <c r="F84">
        <v>1.85</v>
      </c>
      <c r="G84">
        <f t="shared" si="1"/>
        <v>298.8</v>
      </c>
    </row>
    <row r="85" spans="1:7" x14ac:dyDescent="0.2">
      <c r="A85" s="1">
        <v>0.75208333333333333</v>
      </c>
      <c r="B85">
        <v>0.42899999999999999</v>
      </c>
      <c r="C85">
        <v>1.66</v>
      </c>
      <c r="D85">
        <v>1.86</v>
      </c>
      <c r="E85">
        <v>10</v>
      </c>
      <c r="F85">
        <v>1.85</v>
      </c>
      <c r="G85">
        <f t="shared" si="1"/>
        <v>298.8</v>
      </c>
    </row>
    <row r="86" spans="1:7" x14ac:dyDescent="0.2">
      <c r="A86" s="1">
        <v>0.75208333333333333</v>
      </c>
      <c r="B86">
        <v>0.42899999999999999</v>
      </c>
      <c r="C86">
        <v>2.0499999999999998</v>
      </c>
      <c r="D86">
        <v>1.86</v>
      </c>
      <c r="E86">
        <v>10</v>
      </c>
      <c r="F86">
        <v>1.85</v>
      </c>
      <c r="G86">
        <f t="shared" si="1"/>
        <v>298.8</v>
      </c>
    </row>
    <row r="87" spans="1:7" x14ac:dyDescent="0.2">
      <c r="A87" s="1">
        <v>0.75902777777777775</v>
      </c>
      <c r="B87">
        <v>0.42599999999999999</v>
      </c>
      <c r="C87">
        <v>1.73</v>
      </c>
      <c r="D87">
        <v>1.89</v>
      </c>
      <c r="E87">
        <v>9</v>
      </c>
      <c r="F87">
        <v>1.75</v>
      </c>
      <c r="G87">
        <f t="shared" si="1"/>
        <v>284.60000000000002</v>
      </c>
    </row>
    <row r="88" spans="1:7" x14ac:dyDescent="0.2">
      <c r="A88" s="1">
        <v>0.75902777777777775</v>
      </c>
      <c r="B88">
        <v>0.42599999999999999</v>
      </c>
      <c r="C88">
        <v>2.04</v>
      </c>
      <c r="D88">
        <v>1.89</v>
      </c>
      <c r="E88">
        <v>9</v>
      </c>
      <c r="F88">
        <v>1.75</v>
      </c>
      <c r="G88">
        <f t="shared" si="1"/>
        <v>284.60000000000002</v>
      </c>
    </row>
    <row r="89" spans="1:7" x14ac:dyDescent="0.2">
      <c r="A89" s="1">
        <v>0.75902777777777775</v>
      </c>
      <c r="B89">
        <v>0.42799999999999999</v>
      </c>
      <c r="C89">
        <v>1.79</v>
      </c>
      <c r="D89">
        <v>1.9</v>
      </c>
      <c r="E89">
        <v>9</v>
      </c>
      <c r="F89">
        <v>1.75</v>
      </c>
      <c r="G89">
        <f t="shared" si="1"/>
        <v>284.60000000000002</v>
      </c>
    </row>
    <row r="90" spans="1:7" x14ac:dyDescent="0.2">
      <c r="A90" s="1">
        <v>0.75902777777777775</v>
      </c>
      <c r="B90">
        <v>0.42799999999999999</v>
      </c>
      <c r="C90">
        <v>2.0099999999999998</v>
      </c>
      <c r="D90">
        <v>1.9</v>
      </c>
      <c r="E90">
        <v>9</v>
      </c>
      <c r="F90">
        <v>1.75</v>
      </c>
      <c r="G90">
        <f t="shared" si="1"/>
        <v>284.60000000000002</v>
      </c>
    </row>
    <row r="91" spans="1:7" x14ac:dyDescent="0.2">
      <c r="A91" s="1">
        <v>0.76666666666666672</v>
      </c>
      <c r="B91">
        <v>0.42299999999999999</v>
      </c>
      <c r="C91">
        <v>1.74</v>
      </c>
      <c r="D91">
        <v>1.9</v>
      </c>
      <c r="E91">
        <v>4</v>
      </c>
      <c r="F91">
        <v>1.87</v>
      </c>
      <c r="G91">
        <f t="shared" si="1"/>
        <v>301.64000000000004</v>
      </c>
    </row>
    <row r="92" spans="1:7" x14ac:dyDescent="0.2">
      <c r="A92" s="1">
        <v>0.76666666666666672</v>
      </c>
      <c r="B92">
        <v>0.42299999999999999</v>
      </c>
      <c r="C92">
        <v>2.06</v>
      </c>
      <c r="D92">
        <v>1.9</v>
      </c>
      <c r="E92">
        <v>4</v>
      </c>
      <c r="F92">
        <v>1.87</v>
      </c>
      <c r="G92">
        <f t="shared" si="1"/>
        <v>301.64000000000004</v>
      </c>
    </row>
    <row r="93" spans="1:7" x14ac:dyDescent="0.2">
      <c r="A93" s="1">
        <v>0.76666666666666672</v>
      </c>
      <c r="B93">
        <v>0.42599999999999999</v>
      </c>
      <c r="C93">
        <v>1.72</v>
      </c>
      <c r="D93">
        <v>1.87</v>
      </c>
      <c r="E93">
        <v>4</v>
      </c>
      <c r="F93">
        <v>1.87</v>
      </c>
      <c r="G93">
        <f t="shared" si="1"/>
        <v>301.64000000000004</v>
      </c>
    </row>
    <row r="94" spans="1:7" x14ac:dyDescent="0.2">
      <c r="A94" s="1">
        <v>0.76666666666666672</v>
      </c>
      <c r="B94">
        <v>0.42599999999999999</v>
      </c>
      <c r="C94">
        <v>2.02</v>
      </c>
      <c r="D94">
        <v>1.87</v>
      </c>
      <c r="E94">
        <v>4</v>
      </c>
      <c r="F94">
        <v>1.87</v>
      </c>
      <c r="G94">
        <f t="shared" si="1"/>
        <v>301.64000000000004</v>
      </c>
    </row>
    <row r="95" spans="1:7" x14ac:dyDescent="0.2">
      <c r="A95" s="1">
        <v>0.7729166666666667</v>
      </c>
      <c r="B95">
        <v>0.42799999999999999</v>
      </c>
      <c r="C95">
        <v>1.72</v>
      </c>
      <c r="D95">
        <v>1.89</v>
      </c>
      <c r="E95">
        <v>10</v>
      </c>
      <c r="F95">
        <v>1.75</v>
      </c>
      <c r="G95">
        <f t="shared" si="1"/>
        <v>284.60000000000002</v>
      </c>
    </row>
    <row r="96" spans="1:7" x14ac:dyDescent="0.2">
      <c r="A96" s="1">
        <v>0.7729166666666667</v>
      </c>
      <c r="B96">
        <v>0.42799999999999999</v>
      </c>
      <c r="C96">
        <v>2.0499999999999998</v>
      </c>
      <c r="D96">
        <v>1.89</v>
      </c>
      <c r="E96">
        <v>10</v>
      </c>
      <c r="F96">
        <v>1.75</v>
      </c>
      <c r="G96">
        <f t="shared" si="1"/>
        <v>284.60000000000002</v>
      </c>
    </row>
    <row r="97" spans="1:7" x14ac:dyDescent="0.2">
      <c r="A97" s="1">
        <v>0.7729166666666667</v>
      </c>
      <c r="B97">
        <v>0.42599999999999999</v>
      </c>
      <c r="C97">
        <v>1.71</v>
      </c>
      <c r="D97">
        <v>1.88</v>
      </c>
      <c r="E97">
        <v>10</v>
      </c>
      <c r="F97">
        <v>1.75</v>
      </c>
      <c r="G97">
        <f t="shared" si="1"/>
        <v>284.60000000000002</v>
      </c>
    </row>
    <row r="98" spans="1:7" x14ac:dyDescent="0.2">
      <c r="A98" s="1">
        <v>0.7729166666666667</v>
      </c>
      <c r="B98">
        <v>0.42599999999999999</v>
      </c>
      <c r="C98">
        <v>2.0499999999999998</v>
      </c>
      <c r="D98">
        <v>1.88</v>
      </c>
      <c r="E98">
        <v>10</v>
      </c>
      <c r="F98">
        <v>1.75</v>
      </c>
      <c r="G98">
        <f t="shared" si="1"/>
        <v>284.60000000000002</v>
      </c>
    </row>
    <row r="99" spans="1:7" x14ac:dyDescent="0.2">
      <c r="A99" s="1">
        <v>0.78125</v>
      </c>
      <c r="B99">
        <v>0.42499999999999999</v>
      </c>
      <c r="C99">
        <v>1.67</v>
      </c>
      <c r="D99">
        <v>1.85</v>
      </c>
      <c r="E99">
        <v>9</v>
      </c>
      <c r="F99">
        <v>1.97</v>
      </c>
      <c r="G99">
        <f t="shared" si="1"/>
        <v>315.84000000000003</v>
      </c>
    </row>
    <row r="100" spans="1:7" x14ac:dyDescent="0.2">
      <c r="A100" s="1">
        <v>0.78125</v>
      </c>
      <c r="B100">
        <v>0.42499999999999999</v>
      </c>
      <c r="C100">
        <v>2.0299999999999998</v>
      </c>
      <c r="D100">
        <v>1.85</v>
      </c>
      <c r="E100">
        <v>9</v>
      </c>
      <c r="F100">
        <v>1.97</v>
      </c>
      <c r="G100">
        <f t="shared" si="1"/>
        <v>315.84000000000003</v>
      </c>
    </row>
    <row r="101" spans="1:7" x14ac:dyDescent="0.2">
      <c r="A101" s="1">
        <v>0.78125</v>
      </c>
      <c r="B101">
        <v>0.42599999999999999</v>
      </c>
      <c r="C101">
        <v>1.72</v>
      </c>
      <c r="D101">
        <v>1.88</v>
      </c>
      <c r="E101">
        <v>9</v>
      </c>
      <c r="F101">
        <v>1.97</v>
      </c>
      <c r="G101">
        <f t="shared" si="1"/>
        <v>315.84000000000003</v>
      </c>
    </row>
    <row r="102" spans="1:7" x14ac:dyDescent="0.2">
      <c r="A102" s="1">
        <v>0.78125</v>
      </c>
      <c r="B102">
        <v>0.42599999999999999</v>
      </c>
      <c r="C102">
        <v>2.0299999999999998</v>
      </c>
      <c r="D102">
        <v>1.88</v>
      </c>
      <c r="E102">
        <v>9</v>
      </c>
      <c r="F102">
        <v>1.97</v>
      </c>
      <c r="G102">
        <f t="shared" si="1"/>
        <v>315.84000000000003</v>
      </c>
    </row>
    <row r="103" spans="1:7" x14ac:dyDescent="0.2">
      <c r="A103" s="1">
        <v>0.78749999999999998</v>
      </c>
      <c r="B103">
        <v>0.433</v>
      </c>
      <c r="C103">
        <v>1.74</v>
      </c>
      <c r="D103">
        <v>1.91</v>
      </c>
      <c r="E103">
        <v>3</v>
      </c>
      <c r="F103">
        <v>1.98</v>
      </c>
      <c r="G103">
        <f t="shared" si="1"/>
        <v>317.26000000000005</v>
      </c>
    </row>
    <row r="104" spans="1:7" x14ac:dyDescent="0.2">
      <c r="A104" s="1">
        <v>0.78749999999999998</v>
      </c>
      <c r="B104">
        <v>0.433</v>
      </c>
      <c r="C104">
        <v>2.0699999999999998</v>
      </c>
      <c r="D104">
        <v>1.91</v>
      </c>
      <c r="E104">
        <v>3</v>
      </c>
      <c r="F104">
        <v>1.98</v>
      </c>
      <c r="G104">
        <f t="shared" si="1"/>
        <v>317.26000000000005</v>
      </c>
    </row>
    <row r="105" spans="1:7" x14ac:dyDescent="0.2">
      <c r="A105" s="1">
        <v>0.78749999999999998</v>
      </c>
      <c r="B105">
        <v>0.41399999999999998</v>
      </c>
      <c r="C105">
        <v>1.71</v>
      </c>
      <c r="D105">
        <v>1.88</v>
      </c>
      <c r="E105">
        <v>3</v>
      </c>
      <c r="F105">
        <v>1.98</v>
      </c>
      <c r="G105">
        <f t="shared" si="1"/>
        <v>317.26000000000005</v>
      </c>
    </row>
    <row r="106" spans="1:7" x14ac:dyDescent="0.2">
      <c r="A106" s="1">
        <v>0.78749999999999998</v>
      </c>
      <c r="B106">
        <v>0.41399999999999998</v>
      </c>
      <c r="C106">
        <v>2.04</v>
      </c>
      <c r="D106">
        <v>1.88</v>
      </c>
      <c r="E106">
        <v>3</v>
      </c>
      <c r="F106">
        <v>1.98</v>
      </c>
      <c r="G106">
        <f t="shared" si="1"/>
        <v>317.26000000000005</v>
      </c>
    </row>
    <row r="107" spans="1:7" x14ac:dyDescent="0.2">
      <c r="A107" s="1">
        <v>0.7944444444444444</v>
      </c>
      <c r="B107">
        <v>0.43</v>
      </c>
      <c r="C107">
        <v>1.71</v>
      </c>
      <c r="D107">
        <v>1.89</v>
      </c>
      <c r="E107">
        <v>1</v>
      </c>
      <c r="F107">
        <v>1.87</v>
      </c>
      <c r="G107">
        <f t="shared" si="1"/>
        <v>301.64000000000004</v>
      </c>
    </row>
    <row r="108" spans="1:7" x14ac:dyDescent="0.2">
      <c r="A108" s="1">
        <v>0.7944444444444444</v>
      </c>
      <c r="B108">
        <v>0.43</v>
      </c>
      <c r="C108">
        <v>2.06</v>
      </c>
      <c r="D108">
        <v>1.89</v>
      </c>
      <c r="E108">
        <v>1</v>
      </c>
      <c r="F108">
        <v>1.87</v>
      </c>
      <c r="G108">
        <f t="shared" si="1"/>
        <v>301.64000000000004</v>
      </c>
    </row>
    <row r="109" spans="1:7" x14ac:dyDescent="0.2">
      <c r="A109" s="1">
        <v>0.7944444444444444</v>
      </c>
      <c r="B109">
        <v>0.43</v>
      </c>
      <c r="C109">
        <v>1.72</v>
      </c>
      <c r="D109">
        <v>1.89</v>
      </c>
      <c r="E109">
        <v>1</v>
      </c>
      <c r="F109">
        <v>1.87</v>
      </c>
      <c r="G109">
        <f t="shared" si="1"/>
        <v>301.64000000000004</v>
      </c>
    </row>
    <row r="110" spans="1:7" x14ac:dyDescent="0.2">
      <c r="A110" s="1">
        <v>0.7944444444444444</v>
      </c>
      <c r="B110">
        <v>0.43</v>
      </c>
      <c r="C110">
        <v>2.06</v>
      </c>
      <c r="D110">
        <v>1.89</v>
      </c>
      <c r="E110">
        <v>1</v>
      </c>
      <c r="F110">
        <v>1.87</v>
      </c>
      <c r="G110">
        <f t="shared" si="1"/>
        <v>301.64000000000004</v>
      </c>
    </row>
    <row r="111" spans="1:7" x14ac:dyDescent="0.2">
      <c r="A111" s="1">
        <v>0.80625000000000002</v>
      </c>
      <c r="B111">
        <v>0.42099999999999999</v>
      </c>
      <c r="C111">
        <v>1.72</v>
      </c>
      <c r="D111">
        <v>1.89</v>
      </c>
      <c r="E111" s="2" t="s">
        <v>11</v>
      </c>
      <c r="F111">
        <v>2.04</v>
      </c>
      <c r="G111">
        <f t="shared" si="1"/>
        <v>325.78000000000003</v>
      </c>
    </row>
    <row r="112" spans="1:7" x14ac:dyDescent="0.2">
      <c r="A112" s="1">
        <v>0.80625000000000002</v>
      </c>
      <c r="B112">
        <v>0.42099999999999999</v>
      </c>
      <c r="C112">
        <v>2.0499999999999998</v>
      </c>
      <c r="D112">
        <v>1.89</v>
      </c>
      <c r="E112" s="2" t="s">
        <v>11</v>
      </c>
      <c r="F112">
        <v>2.04</v>
      </c>
      <c r="G112">
        <f t="shared" si="1"/>
        <v>325.78000000000003</v>
      </c>
    </row>
    <row r="113" spans="1:7" x14ac:dyDescent="0.2">
      <c r="A113" s="1">
        <v>0.80625000000000002</v>
      </c>
      <c r="B113">
        <v>0.42399999999999999</v>
      </c>
      <c r="C113">
        <v>1.72</v>
      </c>
      <c r="D113">
        <v>1.89</v>
      </c>
      <c r="E113" s="2" t="s">
        <v>11</v>
      </c>
      <c r="F113">
        <v>2.04</v>
      </c>
      <c r="G113">
        <f t="shared" si="1"/>
        <v>325.78000000000003</v>
      </c>
    </row>
    <row r="114" spans="1:7" x14ac:dyDescent="0.2">
      <c r="A114" s="1">
        <v>0.80625000000000002</v>
      </c>
      <c r="B114">
        <v>0.42399999999999999</v>
      </c>
      <c r="C114">
        <v>2.0499999999999998</v>
      </c>
      <c r="D114">
        <v>1.89</v>
      </c>
      <c r="E114" s="2" t="s">
        <v>11</v>
      </c>
      <c r="F114">
        <v>2.04</v>
      </c>
      <c r="G114">
        <f t="shared" si="1"/>
        <v>325.78000000000003</v>
      </c>
    </row>
    <row r="115" spans="1:7" x14ac:dyDescent="0.2">
      <c r="A115" s="1">
        <v>0.80972222222222223</v>
      </c>
      <c r="B115">
        <v>0.42599999999999999</v>
      </c>
      <c r="C115">
        <v>1.7</v>
      </c>
      <c r="D115">
        <v>1.87</v>
      </c>
      <c r="E115" s="2">
        <v>3</v>
      </c>
      <c r="F115">
        <v>1.92</v>
      </c>
      <c r="G115">
        <f t="shared" si="1"/>
        <v>308.74</v>
      </c>
    </row>
    <row r="116" spans="1:7" x14ac:dyDescent="0.2">
      <c r="A116" s="1">
        <v>0.80972222222222223</v>
      </c>
      <c r="B116">
        <v>0.42599999999999999</v>
      </c>
      <c r="C116">
        <v>2.04</v>
      </c>
      <c r="D116">
        <v>1.87</v>
      </c>
      <c r="E116" s="2">
        <v>3</v>
      </c>
      <c r="F116">
        <v>1.92</v>
      </c>
      <c r="G116">
        <f t="shared" si="1"/>
        <v>308.74</v>
      </c>
    </row>
    <row r="117" spans="1:7" x14ac:dyDescent="0.2">
      <c r="A117" s="1">
        <v>0.80972222222222223</v>
      </c>
      <c r="B117">
        <v>0.434</v>
      </c>
      <c r="C117">
        <v>1.7</v>
      </c>
      <c r="D117">
        <v>1.89</v>
      </c>
      <c r="E117">
        <v>3</v>
      </c>
      <c r="F117">
        <v>1.92</v>
      </c>
      <c r="G117">
        <f t="shared" si="1"/>
        <v>308.74</v>
      </c>
    </row>
    <row r="118" spans="1:7" x14ac:dyDescent="0.2">
      <c r="A118" s="1">
        <v>0.80972222222222223</v>
      </c>
      <c r="B118">
        <v>0.434</v>
      </c>
      <c r="C118">
        <v>2.0699999999999998</v>
      </c>
      <c r="D118">
        <v>1.89</v>
      </c>
      <c r="E118" s="2">
        <v>3</v>
      </c>
      <c r="F118">
        <v>1.92</v>
      </c>
      <c r="G118">
        <f t="shared" si="1"/>
        <v>308.74</v>
      </c>
    </row>
    <row r="119" spans="1:7" x14ac:dyDescent="0.2">
      <c r="A119" s="1">
        <v>0.81527777777777777</v>
      </c>
      <c r="B119">
        <v>0.438</v>
      </c>
      <c r="C119">
        <v>1.95</v>
      </c>
      <c r="D119">
        <v>1.95</v>
      </c>
      <c r="E119" s="2">
        <v>8</v>
      </c>
      <c r="F119">
        <v>1.85</v>
      </c>
      <c r="G119">
        <f t="shared" si="1"/>
        <v>298.8</v>
      </c>
    </row>
    <row r="120" spans="1:7" x14ac:dyDescent="0.2">
      <c r="A120" s="1">
        <v>0.81527777777777777</v>
      </c>
      <c r="B120">
        <v>0.438</v>
      </c>
      <c r="C120">
        <v>1.95</v>
      </c>
      <c r="D120">
        <v>1.95</v>
      </c>
      <c r="E120" s="2">
        <v>8</v>
      </c>
      <c r="F120">
        <v>1.85</v>
      </c>
      <c r="G120">
        <f t="shared" si="1"/>
        <v>298.8</v>
      </c>
    </row>
    <row r="121" spans="1:7" x14ac:dyDescent="0.2">
      <c r="A121" s="1">
        <v>0.81527777777777777</v>
      </c>
      <c r="B121">
        <v>0.41599999999999998</v>
      </c>
      <c r="C121">
        <v>1.89</v>
      </c>
      <c r="D121">
        <v>1.89</v>
      </c>
      <c r="E121" s="2">
        <v>8</v>
      </c>
      <c r="F121">
        <v>1.85</v>
      </c>
      <c r="G121">
        <f t="shared" si="1"/>
        <v>298.8</v>
      </c>
    </row>
    <row r="122" spans="1:7" x14ac:dyDescent="0.2">
      <c r="A122" s="1">
        <v>0.81527777777777777</v>
      </c>
      <c r="B122">
        <v>0.41599999999999998</v>
      </c>
      <c r="C122">
        <v>1.89</v>
      </c>
      <c r="D122">
        <v>1.89</v>
      </c>
      <c r="E122" s="2">
        <v>8</v>
      </c>
      <c r="F122">
        <v>1.85</v>
      </c>
      <c r="G122">
        <f t="shared" si="1"/>
        <v>298.8</v>
      </c>
    </row>
    <row r="123" spans="1:7" x14ac:dyDescent="0.2">
      <c r="A123" s="1">
        <v>0.82152777777777775</v>
      </c>
      <c r="B123">
        <v>0.41899999999999998</v>
      </c>
      <c r="C123">
        <v>1.72</v>
      </c>
      <c r="D123">
        <v>1.88</v>
      </c>
      <c r="E123" s="2">
        <v>8</v>
      </c>
      <c r="F123">
        <v>1.72</v>
      </c>
      <c r="G123">
        <f t="shared" si="1"/>
        <v>280.34000000000003</v>
      </c>
    </row>
    <row r="124" spans="1:7" x14ac:dyDescent="0.2">
      <c r="A124" s="1">
        <v>0.82152777777777775</v>
      </c>
      <c r="B124">
        <v>0.41899999999999998</v>
      </c>
      <c r="C124">
        <v>2.0699999999999998</v>
      </c>
      <c r="D124">
        <v>1.88</v>
      </c>
      <c r="E124" s="2">
        <v>8</v>
      </c>
      <c r="F124">
        <v>1.72</v>
      </c>
      <c r="G124">
        <f t="shared" si="1"/>
        <v>280.34000000000003</v>
      </c>
    </row>
    <row r="125" spans="1:7" x14ac:dyDescent="0.2">
      <c r="A125" s="1">
        <v>0.82152777777777775</v>
      </c>
      <c r="B125">
        <v>0.42399999999999999</v>
      </c>
      <c r="C125">
        <v>1.74</v>
      </c>
      <c r="D125">
        <v>1.88</v>
      </c>
      <c r="E125" s="2">
        <v>8</v>
      </c>
      <c r="F125">
        <v>1.72</v>
      </c>
      <c r="G125">
        <f t="shared" si="1"/>
        <v>280.34000000000003</v>
      </c>
    </row>
    <row r="126" spans="1:7" x14ac:dyDescent="0.2">
      <c r="A126" s="1">
        <v>0.82152777777777775</v>
      </c>
      <c r="B126">
        <v>0.42399999999999999</v>
      </c>
      <c r="C126">
        <v>2.02</v>
      </c>
      <c r="D126">
        <v>1.88</v>
      </c>
      <c r="E126" s="2">
        <v>8</v>
      </c>
      <c r="F126">
        <v>1.72</v>
      </c>
      <c r="G126">
        <f t="shared" si="1"/>
        <v>280.34000000000003</v>
      </c>
    </row>
    <row r="127" spans="1:7" x14ac:dyDescent="0.2">
      <c r="A127" s="1">
        <v>0.82847222222222228</v>
      </c>
      <c r="B127">
        <v>0.42399999999999999</v>
      </c>
      <c r="C127">
        <v>1.73</v>
      </c>
      <c r="D127">
        <v>1.73</v>
      </c>
      <c r="E127" s="2">
        <v>2</v>
      </c>
      <c r="F127">
        <v>1.92</v>
      </c>
      <c r="G127">
        <f t="shared" si="1"/>
        <v>308.74</v>
      </c>
    </row>
    <row r="128" spans="1:7" x14ac:dyDescent="0.2">
      <c r="A128" s="1">
        <v>0.82847222222222228</v>
      </c>
      <c r="B128">
        <v>0.42399999999999999</v>
      </c>
      <c r="C128">
        <v>1.73</v>
      </c>
      <c r="D128">
        <v>1.73</v>
      </c>
      <c r="E128" s="2">
        <v>2</v>
      </c>
      <c r="F128">
        <v>1.92</v>
      </c>
      <c r="G128">
        <f t="shared" si="1"/>
        <v>308.74</v>
      </c>
    </row>
    <row r="129" spans="1:7" x14ac:dyDescent="0.2">
      <c r="A129" s="1">
        <v>0.82847222222222228</v>
      </c>
      <c r="B129">
        <v>0.439</v>
      </c>
      <c r="C129">
        <v>1.69</v>
      </c>
      <c r="D129">
        <v>1.75</v>
      </c>
      <c r="E129" s="2">
        <v>2</v>
      </c>
      <c r="F129">
        <v>1.92</v>
      </c>
      <c r="G129">
        <f t="shared" si="1"/>
        <v>308.74</v>
      </c>
    </row>
    <row r="130" spans="1:7" x14ac:dyDescent="0.2">
      <c r="A130" s="1">
        <v>0.82847222222222228</v>
      </c>
      <c r="B130">
        <v>0.439</v>
      </c>
      <c r="C130">
        <v>2.04</v>
      </c>
      <c r="D130">
        <v>1.75</v>
      </c>
      <c r="E130" s="2">
        <v>2</v>
      </c>
      <c r="F130">
        <v>1.92</v>
      </c>
      <c r="G130">
        <f t="shared" si="1"/>
        <v>308.74</v>
      </c>
    </row>
    <row r="131" spans="1:7" x14ac:dyDescent="0.2">
      <c r="A131" s="1">
        <v>0.84236111111111112</v>
      </c>
      <c r="B131">
        <v>0.43099999999999999</v>
      </c>
      <c r="C131">
        <v>1.97</v>
      </c>
      <c r="D131">
        <v>1.97</v>
      </c>
      <c r="E131" s="2">
        <v>2</v>
      </c>
      <c r="F131">
        <v>1.71</v>
      </c>
      <c r="G131">
        <f t="shared" si="1"/>
        <v>278.92</v>
      </c>
    </row>
    <row r="132" spans="1:7" x14ac:dyDescent="0.2">
      <c r="A132" s="1">
        <v>0.84236111111111112</v>
      </c>
      <c r="B132">
        <v>0.43099999999999999</v>
      </c>
      <c r="C132">
        <v>1.97</v>
      </c>
      <c r="D132">
        <v>1.97</v>
      </c>
      <c r="E132" s="2">
        <v>2</v>
      </c>
      <c r="F132">
        <v>1.71</v>
      </c>
      <c r="G132">
        <f t="shared" ref="G132:G134" si="2">142*F132+36.1</f>
        <v>278.92</v>
      </c>
    </row>
    <row r="133" spans="1:7" x14ac:dyDescent="0.2">
      <c r="A133" s="1">
        <v>0.84236111111111112</v>
      </c>
      <c r="B133">
        <v>0.42699999999999999</v>
      </c>
      <c r="C133">
        <v>1.87</v>
      </c>
      <c r="D133">
        <v>1.87</v>
      </c>
      <c r="E133" s="2">
        <v>2</v>
      </c>
      <c r="F133">
        <v>1.71</v>
      </c>
      <c r="G133">
        <f t="shared" si="2"/>
        <v>278.92</v>
      </c>
    </row>
    <row r="134" spans="1:7" x14ac:dyDescent="0.2">
      <c r="A134" s="1">
        <v>0.84236111111111112</v>
      </c>
      <c r="B134">
        <v>0.42699999999999999</v>
      </c>
      <c r="C134">
        <v>1.87</v>
      </c>
      <c r="D134">
        <v>1.87</v>
      </c>
      <c r="E134" s="2">
        <v>2</v>
      </c>
      <c r="F134">
        <v>1.71</v>
      </c>
      <c r="G134">
        <f t="shared" si="2"/>
        <v>278.92</v>
      </c>
    </row>
    <row r="135" spans="1:7" x14ac:dyDescent="0.2">
      <c r="A135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3D21-3494-1441-BE80-BEA1593CA22C}">
  <dimension ref="A1:I65"/>
  <sheetViews>
    <sheetView tabSelected="1" topLeftCell="A11" workbookViewId="0">
      <selection activeCell="K35" sqref="K35"/>
    </sheetView>
  </sheetViews>
  <sheetFormatPr baseColWidth="10" defaultRowHeight="16" x14ac:dyDescent="0.2"/>
  <sheetData>
    <row r="1" spans="1:9" x14ac:dyDescent="0.2">
      <c r="A1" t="s">
        <v>0</v>
      </c>
      <c r="B1" t="s">
        <v>3</v>
      </c>
      <c r="C1" t="s">
        <v>6</v>
      </c>
      <c r="D1" t="s">
        <v>6</v>
      </c>
      <c r="E1" t="s">
        <v>15</v>
      </c>
      <c r="F1" t="s">
        <v>13</v>
      </c>
      <c r="G1" t="s">
        <v>15</v>
      </c>
      <c r="H1" t="s">
        <v>27</v>
      </c>
    </row>
    <row r="2" spans="1:9" x14ac:dyDescent="0.2">
      <c r="A2" t="s">
        <v>1</v>
      </c>
      <c r="B2" t="s">
        <v>2</v>
      </c>
      <c r="C2" t="s">
        <v>7</v>
      </c>
      <c r="D2" t="s">
        <v>8</v>
      </c>
      <c r="E2" t="s">
        <v>26</v>
      </c>
      <c r="F2" t="s">
        <v>14</v>
      </c>
      <c r="G2" t="s">
        <v>16</v>
      </c>
      <c r="H2" t="s">
        <v>14</v>
      </c>
    </row>
    <row r="3" spans="1:9" x14ac:dyDescent="0.2">
      <c r="A3" s="1">
        <v>0.59375</v>
      </c>
      <c r="B3">
        <v>0.42799999999999999</v>
      </c>
      <c r="C3">
        <v>1</v>
      </c>
      <c r="D3">
        <v>1.47</v>
      </c>
      <c r="E3" s="3">
        <f>142*D3+36.1</f>
        <v>244.84</v>
      </c>
      <c r="G3" s="3"/>
    </row>
    <row r="4" spans="1:9" x14ac:dyDescent="0.2">
      <c r="A4" s="1">
        <v>0.60069444444444442</v>
      </c>
      <c r="B4">
        <v>0.42099999999999999</v>
      </c>
      <c r="C4">
        <v>1</v>
      </c>
      <c r="D4">
        <v>1.32</v>
      </c>
      <c r="E4" s="3">
        <f t="shared" ref="E4:E30" si="0">142*D4+36.1</f>
        <v>223.54</v>
      </c>
      <c r="G4" s="3"/>
    </row>
    <row r="5" spans="1:9" x14ac:dyDescent="0.2">
      <c r="A5" s="1">
        <v>0.60833333333333328</v>
      </c>
      <c r="B5">
        <v>0.41799999999999998</v>
      </c>
      <c r="C5">
        <v>1</v>
      </c>
      <c r="D5">
        <v>1.52</v>
      </c>
      <c r="E5" s="3">
        <f t="shared" si="0"/>
        <v>251.94</v>
      </c>
      <c r="G5" s="3"/>
    </row>
    <row r="6" spans="1:9" x14ac:dyDescent="0.2">
      <c r="A6" s="1">
        <v>0.61527777777777781</v>
      </c>
      <c r="B6">
        <v>0.42599999999999999</v>
      </c>
      <c r="C6">
        <v>7</v>
      </c>
      <c r="D6">
        <v>1.43</v>
      </c>
      <c r="E6" s="3">
        <f t="shared" si="0"/>
        <v>239.16</v>
      </c>
      <c r="G6" s="3"/>
    </row>
    <row r="7" spans="1:9" x14ac:dyDescent="0.2">
      <c r="A7" s="1">
        <v>0.62222222222222223</v>
      </c>
      <c r="B7">
        <v>0.41499999999999998</v>
      </c>
      <c r="C7">
        <v>10</v>
      </c>
      <c r="D7">
        <v>1.45</v>
      </c>
      <c r="E7" s="3">
        <f t="shared" si="0"/>
        <v>242</v>
      </c>
      <c r="G7" s="3"/>
    </row>
    <row r="8" spans="1:9" x14ac:dyDescent="0.2">
      <c r="A8" s="1">
        <v>0.62916666666666665</v>
      </c>
      <c r="B8">
        <v>0.42299999999999999</v>
      </c>
      <c r="C8">
        <v>5</v>
      </c>
      <c r="D8">
        <v>1.6</v>
      </c>
      <c r="E8" s="3">
        <f t="shared" si="0"/>
        <v>263.3</v>
      </c>
      <c r="G8" s="3"/>
      <c r="H8">
        <v>1.71</v>
      </c>
    </row>
    <row r="9" spans="1:9" x14ac:dyDescent="0.2">
      <c r="A9" s="1">
        <v>0.63611111111111107</v>
      </c>
      <c r="B9">
        <v>0.41599999999999998</v>
      </c>
      <c r="C9">
        <v>8</v>
      </c>
      <c r="D9">
        <v>1.54</v>
      </c>
      <c r="E9" s="3">
        <f t="shared" si="0"/>
        <v>254.78</v>
      </c>
      <c r="G9" s="3"/>
    </row>
    <row r="10" spans="1:9" x14ac:dyDescent="0.2">
      <c r="A10" s="1">
        <v>0.6430555555555556</v>
      </c>
      <c r="B10">
        <v>0.41799999999999998</v>
      </c>
      <c r="C10" s="2" t="s">
        <v>17</v>
      </c>
      <c r="E10" s="3"/>
      <c r="F10">
        <v>0.82</v>
      </c>
      <c r="G10" s="3">
        <f t="shared" ref="G10" si="1">169.5*F10+129.7</f>
        <v>268.68999999999994</v>
      </c>
    </row>
    <row r="11" spans="1:9" x14ac:dyDescent="0.2">
      <c r="A11" s="1">
        <v>0.65</v>
      </c>
      <c r="B11">
        <v>0.41</v>
      </c>
      <c r="C11">
        <v>9</v>
      </c>
      <c r="D11">
        <v>1.82</v>
      </c>
      <c r="E11" s="3">
        <f t="shared" si="0"/>
        <v>294.54000000000002</v>
      </c>
      <c r="G11" s="3"/>
    </row>
    <row r="12" spans="1:9" x14ac:dyDescent="0.2">
      <c r="A12" s="1">
        <v>0.65694444444444444</v>
      </c>
      <c r="B12">
        <v>0.40300000000000002</v>
      </c>
      <c r="C12">
        <v>7</v>
      </c>
      <c r="D12">
        <v>1.92</v>
      </c>
      <c r="E12" s="3">
        <f t="shared" si="0"/>
        <v>308.74</v>
      </c>
      <c r="G12" s="3"/>
    </row>
    <row r="13" spans="1:9" x14ac:dyDescent="0.2">
      <c r="A13" s="1">
        <v>0.66388888888888886</v>
      </c>
      <c r="B13">
        <v>0.41199999999999998</v>
      </c>
      <c r="C13">
        <v>1</v>
      </c>
      <c r="D13">
        <v>1.9</v>
      </c>
      <c r="E13" s="3">
        <f t="shared" si="0"/>
        <v>305.90000000000003</v>
      </c>
      <c r="G13" s="3"/>
      <c r="H13">
        <v>1.74</v>
      </c>
    </row>
    <row r="14" spans="1:9" x14ac:dyDescent="0.2">
      <c r="A14" s="1">
        <v>0.67083333333333328</v>
      </c>
      <c r="B14">
        <v>0.40100000000000002</v>
      </c>
      <c r="C14">
        <v>5</v>
      </c>
      <c r="D14">
        <v>2</v>
      </c>
      <c r="E14" s="3">
        <f t="shared" si="0"/>
        <v>320.10000000000002</v>
      </c>
      <c r="G14" s="3" t="s">
        <v>25</v>
      </c>
      <c r="I14" t="s">
        <v>18</v>
      </c>
    </row>
    <row r="15" spans="1:9" x14ac:dyDescent="0.2">
      <c r="A15" s="1">
        <v>0.68472222222222223</v>
      </c>
      <c r="B15">
        <v>0.40600000000000003</v>
      </c>
      <c r="C15">
        <v>2</v>
      </c>
      <c r="D15">
        <v>2.13</v>
      </c>
      <c r="E15" s="3">
        <f t="shared" si="0"/>
        <v>338.56</v>
      </c>
      <c r="G15" s="3" t="s">
        <v>25</v>
      </c>
    </row>
    <row r="16" spans="1:9" x14ac:dyDescent="0.2">
      <c r="A16" s="1">
        <v>0.69166666666666665</v>
      </c>
      <c r="B16">
        <v>0.41299999999999998</v>
      </c>
      <c r="C16">
        <v>1</v>
      </c>
      <c r="D16">
        <v>2</v>
      </c>
      <c r="E16" s="3">
        <f t="shared" si="0"/>
        <v>320.10000000000002</v>
      </c>
      <c r="G16" s="3"/>
    </row>
    <row r="17" spans="1:9" x14ac:dyDescent="0.2">
      <c r="A17" s="1">
        <v>0.69861111111111107</v>
      </c>
      <c r="B17">
        <v>0.438</v>
      </c>
      <c r="E17" s="3"/>
      <c r="G17" s="3"/>
      <c r="I17" t="s">
        <v>19</v>
      </c>
    </row>
    <row r="18" spans="1:9" x14ac:dyDescent="0.2">
      <c r="A18" s="1">
        <v>0.71250000000000002</v>
      </c>
      <c r="B18">
        <v>0.40600000000000003</v>
      </c>
      <c r="C18">
        <v>1</v>
      </c>
      <c r="D18">
        <v>2</v>
      </c>
      <c r="E18" s="3">
        <f t="shared" si="0"/>
        <v>320.10000000000002</v>
      </c>
      <c r="G18" s="3"/>
    </row>
    <row r="19" spans="1:9" x14ac:dyDescent="0.2">
      <c r="A19" s="1">
        <v>0.71944444444444444</v>
      </c>
      <c r="B19">
        <v>0.40400000000000003</v>
      </c>
      <c r="E19" s="3"/>
      <c r="G19" s="3"/>
    </row>
    <row r="20" spans="1:9" x14ac:dyDescent="0.2">
      <c r="A20" s="1">
        <v>0.72638888888888886</v>
      </c>
      <c r="B20">
        <v>0.432</v>
      </c>
      <c r="C20">
        <v>3</v>
      </c>
      <c r="D20">
        <v>2</v>
      </c>
      <c r="E20" s="3">
        <f t="shared" si="0"/>
        <v>320.10000000000002</v>
      </c>
      <c r="G20" s="3"/>
    </row>
    <row r="21" spans="1:9" x14ac:dyDescent="0.2">
      <c r="A21" s="1">
        <v>0.73333333333333328</v>
      </c>
      <c r="B21">
        <v>0.43099999999999999</v>
      </c>
      <c r="C21">
        <v>1</v>
      </c>
      <c r="D21">
        <v>1.75</v>
      </c>
      <c r="E21" s="3">
        <f t="shared" si="0"/>
        <v>284.60000000000002</v>
      </c>
      <c r="G21" s="3"/>
    </row>
    <row r="22" spans="1:9" x14ac:dyDescent="0.2">
      <c r="A22" s="1">
        <v>0.74027777777777781</v>
      </c>
      <c r="B22">
        <v>0.43099999999999999</v>
      </c>
      <c r="C22" s="2" t="s">
        <v>20</v>
      </c>
      <c r="D22">
        <v>1.96</v>
      </c>
      <c r="E22" s="3">
        <f t="shared" si="0"/>
        <v>314.42</v>
      </c>
      <c r="G22" s="3"/>
    </row>
    <row r="23" spans="1:9" x14ac:dyDescent="0.2">
      <c r="A23" s="1">
        <v>0.74722222222222223</v>
      </c>
      <c r="B23">
        <v>0.42599999999999999</v>
      </c>
      <c r="C23">
        <v>2</v>
      </c>
      <c r="E23" s="3"/>
      <c r="F23">
        <v>0.95499999999999996</v>
      </c>
      <c r="G23" s="3">
        <f t="shared" ref="G23:G24" si="2">169.5*F23+129.7</f>
        <v>291.57249999999999</v>
      </c>
    </row>
    <row r="24" spans="1:9" x14ac:dyDescent="0.2">
      <c r="A24" s="1">
        <v>0.75416666666666665</v>
      </c>
      <c r="B24">
        <v>0.42399999999999999</v>
      </c>
      <c r="C24">
        <v>10</v>
      </c>
      <c r="E24" s="3"/>
      <c r="F24">
        <v>0.99</v>
      </c>
      <c r="G24" s="3">
        <f t="shared" si="2"/>
        <v>297.505</v>
      </c>
    </row>
    <row r="25" spans="1:9" x14ac:dyDescent="0.2">
      <c r="A25" s="1">
        <v>0.76111111111111107</v>
      </c>
      <c r="B25">
        <v>0.42699999999999999</v>
      </c>
      <c r="C25" s="2" t="s">
        <v>21</v>
      </c>
      <c r="D25">
        <v>1.675</v>
      </c>
      <c r="E25" s="3">
        <f t="shared" si="0"/>
        <v>273.95</v>
      </c>
      <c r="G25" s="3"/>
    </row>
    <row r="26" spans="1:9" x14ac:dyDescent="0.2">
      <c r="A26" s="1">
        <v>0.7680555555555556</v>
      </c>
      <c r="B26">
        <v>0.42899999999999999</v>
      </c>
      <c r="C26">
        <v>7</v>
      </c>
      <c r="D26">
        <v>1.72</v>
      </c>
      <c r="E26" s="3">
        <f t="shared" si="0"/>
        <v>280.34000000000003</v>
      </c>
      <c r="G26" s="3"/>
    </row>
    <row r="27" spans="1:9" x14ac:dyDescent="0.2">
      <c r="A27" s="1">
        <v>0.77500000000000002</v>
      </c>
      <c r="B27">
        <v>0.42299999999999999</v>
      </c>
      <c r="C27">
        <v>4</v>
      </c>
      <c r="D27">
        <v>1.72</v>
      </c>
      <c r="E27" s="3">
        <f t="shared" si="0"/>
        <v>280.34000000000003</v>
      </c>
      <c r="G27" s="3"/>
    </row>
    <row r="28" spans="1:9" x14ac:dyDescent="0.2">
      <c r="A28" s="1">
        <v>0.78194444444444444</v>
      </c>
      <c r="B28">
        <v>0.42299999999999999</v>
      </c>
      <c r="C28">
        <v>8</v>
      </c>
      <c r="D28">
        <v>1.77</v>
      </c>
      <c r="E28" s="3">
        <f t="shared" si="0"/>
        <v>287.44</v>
      </c>
      <c r="G28" s="3"/>
    </row>
    <row r="29" spans="1:9" x14ac:dyDescent="0.2">
      <c r="A29" s="1">
        <v>0.78888888888888886</v>
      </c>
      <c r="B29">
        <v>0.42799999999999999</v>
      </c>
      <c r="C29">
        <v>10</v>
      </c>
      <c r="D29">
        <v>1.72</v>
      </c>
      <c r="E29" s="3">
        <f t="shared" si="0"/>
        <v>280.34000000000003</v>
      </c>
      <c r="G29" s="3"/>
    </row>
    <row r="30" spans="1:9" x14ac:dyDescent="0.2">
      <c r="A30" s="1">
        <v>0.79583333333333328</v>
      </c>
      <c r="B30">
        <v>0.42599999999999999</v>
      </c>
      <c r="C30">
        <v>5</v>
      </c>
      <c r="D30">
        <v>1.69</v>
      </c>
      <c r="E30" s="3">
        <f t="shared" si="0"/>
        <v>276.08</v>
      </c>
      <c r="G30" s="3"/>
    </row>
    <row r="31" spans="1:9" x14ac:dyDescent="0.2">
      <c r="A31" s="1">
        <v>0.80763888888888891</v>
      </c>
      <c r="B31">
        <v>0.44700000000000001</v>
      </c>
      <c r="E31" s="3"/>
      <c r="G31" s="3"/>
    </row>
    <row r="32" spans="1:9" x14ac:dyDescent="0.2">
      <c r="A32" s="1">
        <v>0.81111111111111112</v>
      </c>
      <c r="B32">
        <v>0.42799999999999999</v>
      </c>
      <c r="C32" s="2" t="s">
        <v>22</v>
      </c>
      <c r="E32" s="3"/>
      <c r="F32">
        <v>0.85</v>
      </c>
      <c r="G32" s="3">
        <f t="shared" ref="G32:G35" si="3">169.5*F32+129.7</f>
        <v>273.77499999999998</v>
      </c>
    </row>
    <row r="33" spans="1:7" x14ac:dyDescent="0.2">
      <c r="A33" s="1">
        <v>0.81666666666666665</v>
      </c>
      <c r="B33">
        <v>0.44600000000000001</v>
      </c>
      <c r="C33" s="2" t="s">
        <v>23</v>
      </c>
      <c r="E33" s="3"/>
      <c r="F33">
        <v>0.78700000000000003</v>
      </c>
      <c r="G33" s="3">
        <f t="shared" si="3"/>
        <v>263.09649999999999</v>
      </c>
    </row>
    <row r="34" spans="1:7" x14ac:dyDescent="0.2">
      <c r="A34" s="1">
        <v>0.82361111111111107</v>
      </c>
      <c r="B34">
        <v>0.45200000000000001</v>
      </c>
      <c r="E34" s="3"/>
      <c r="G34" s="3"/>
    </row>
    <row r="35" spans="1:7" x14ac:dyDescent="0.2">
      <c r="A35" s="1">
        <v>0.8305555555555556</v>
      </c>
      <c r="B35">
        <v>0.48399999999999999</v>
      </c>
      <c r="C35" s="2" t="s">
        <v>24</v>
      </c>
      <c r="E35" s="3"/>
      <c r="F35">
        <v>0.77</v>
      </c>
      <c r="G35" s="3">
        <f t="shared" si="3"/>
        <v>260.21500000000003</v>
      </c>
    </row>
    <row r="36" spans="1:7" x14ac:dyDescent="0.2">
      <c r="A36" s="1">
        <v>0.84444444444444444</v>
      </c>
      <c r="B36">
        <v>0.42099999999999999</v>
      </c>
      <c r="E36" s="3"/>
      <c r="G36" s="3"/>
    </row>
    <row r="37" spans="1:7" x14ac:dyDescent="0.2">
      <c r="E37" s="3"/>
      <c r="G37" s="3"/>
    </row>
    <row r="38" spans="1:7" x14ac:dyDescent="0.2">
      <c r="E38" s="3"/>
      <c r="G38" s="3"/>
    </row>
    <row r="39" spans="1:7" x14ac:dyDescent="0.2">
      <c r="E39" s="3"/>
      <c r="G39" s="3"/>
    </row>
    <row r="40" spans="1:7" x14ac:dyDescent="0.2">
      <c r="E40" s="3"/>
      <c r="G40" s="3"/>
    </row>
    <row r="41" spans="1:7" x14ac:dyDescent="0.2">
      <c r="E41" s="3"/>
      <c r="G41" s="3"/>
    </row>
    <row r="42" spans="1:7" x14ac:dyDescent="0.2">
      <c r="E42" s="3"/>
      <c r="G42" s="3"/>
    </row>
    <row r="43" spans="1:7" x14ac:dyDescent="0.2">
      <c r="E43" s="3"/>
      <c r="G43" s="3"/>
    </row>
    <row r="44" spans="1:7" x14ac:dyDescent="0.2">
      <c r="E44" s="3"/>
      <c r="G44" s="3"/>
    </row>
    <row r="45" spans="1:7" x14ac:dyDescent="0.2">
      <c r="E45" s="3"/>
      <c r="G45" s="3"/>
    </row>
    <row r="46" spans="1:7" x14ac:dyDescent="0.2">
      <c r="E46" s="3"/>
      <c r="G46" s="3"/>
    </row>
    <row r="47" spans="1:7" x14ac:dyDescent="0.2">
      <c r="E47" s="3"/>
      <c r="G47" s="3"/>
    </row>
    <row r="48" spans="1:7" x14ac:dyDescent="0.2">
      <c r="E48" s="3"/>
      <c r="G48" s="3"/>
    </row>
    <row r="49" spans="5:7" x14ac:dyDescent="0.2">
      <c r="E49" s="3"/>
      <c r="G49" s="3"/>
    </row>
    <row r="50" spans="5:7" x14ac:dyDescent="0.2">
      <c r="E50" s="3"/>
      <c r="G50" s="3"/>
    </row>
    <row r="51" spans="5:7" x14ac:dyDescent="0.2">
      <c r="E51" s="3"/>
      <c r="G51" s="3"/>
    </row>
    <row r="52" spans="5:7" x14ac:dyDescent="0.2">
      <c r="E52" s="3"/>
      <c r="G52" s="3"/>
    </row>
    <row r="53" spans="5:7" x14ac:dyDescent="0.2">
      <c r="E53" s="3"/>
      <c r="G53" s="3"/>
    </row>
    <row r="54" spans="5:7" x14ac:dyDescent="0.2">
      <c r="E54" s="3"/>
      <c r="G54" s="3"/>
    </row>
    <row r="55" spans="5:7" x14ac:dyDescent="0.2">
      <c r="E55" s="3"/>
      <c r="G55" s="3"/>
    </row>
    <row r="56" spans="5:7" x14ac:dyDescent="0.2">
      <c r="E56" s="3"/>
      <c r="G56" s="3"/>
    </row>
    <row r="57" spans="5:7" x14ac:dyDescent="0.2">
      <c r="E57" s="3"/>
      <c r="G57" s="3"/>
    </row>
    <row r="58" spans="5:7" x14ac:dyDescent="0.2">
      <c r="E58" s="3"/>
      <c r="G58" s="3"/>
    </row>
    <row r="59" spans="5:7" x14ac:dyDescent="0.2">
      <c r="E59" s="3"/>
      <c r="G59" s="3"/>
    </row>
    <row r="60" spans="5:7" x14ac:dyDescent="0.2">
      <c r="E60" s="3"/>
      <c r="G60" s="3"/>
    </row>
    <row r="61" spans="5:7" x14ac:dyDescent="0.2">
      <c r="E61" s="3"/>
      <c r="G61" s="3"/>
    </row>
    <row r="62" spans="5:7" x14ac:dyDescent="0.2">
      <c r="E62" s="3"/>
      <c r="G62" s="3"/>
    </row>
    <row r="63" spans="5:7" x14ac:dyDescent="0.2">
      <c r="E63" s="3"/>
      <c r="G63" s="3"/>
    </row>
    <row r="64" spans="5:7" x14ac:dyDescent="0.2">
      <c r="E64" s="3"/>
      <c r="G64" s="3"/>
    </row>
    <row r="65" spans="5:7" x14ac:dyDescent="0.2">
      <c r="E65" s="3"/>
      <c r="G6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40m</vt:lpstr>
      <vt:lpstr>60m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Cerwin</dc:creator>
  <cp:lastModifiedBy>Steve Cerwin</cp:lastModifiedBy>
  <dcterms:created xsi:type="dcterms:W3CDTF">2024-05-25T15:01:09Z</dcterms:created>
  <dcterms:modified xsi:type="dcterms:W3CDTF">2024-05-31T23:19:29Z</dcterms:modified>
</cp:coreProperties>
</file>