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2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queryTables/queryTable1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Fronteirs Paper August 2025\"/>
    </mc:Choice>
  </mc:AlternateContent>
  <xr:revisionPtr revIDLastSave="0" documentId="8_{A2C2BAED-FD7B-40FC-BAF2-CDEF474D4017}" xr6:coauthVersionLast="47" xr6:coauthVersionMax="47" xr10:uidLastSave="{00000000-0000-0000-0000-000000000000}"/>
  <bookViews>
    <workbookView xWindow="-28920" yWindow="840" windowWidth="29040" windowHeight="15720" activeTab="2" xr2:uid="{0318AE33-34B8-514F-929B-6AF76EBBC337}"/>
  </bookViews>
  <sheets>
    <sheet name="40m" sheetId="1" r:id="rId1"/>
    <sheet name="60m" sheetId="2" r:id="rId2"/>
    <sheet name="N6RFM" sheetId="3" r:id="rId3"/>
    <sheet name="Austin" sheetId="4" r:id="rId4"/>
  </sheets>
  <externalReferences>
    <externalReference r:id="rId5"/>
    <externalReference r:id="rId6"/>
  </externalReferences>
  <definedNames>
    <definedName name="_20240408_hmE_AU930_9" localSheetId="3">Austin!$N$1:$U$308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37" i="3"/>
  <c r="F25" i="3"/>
  <c r="F24" i="3"/>
  <c r="F23" i="3"/>
  <c r="H21" i="3" l="1"/>
  <c r="S13" i="4" a="1"/>
  <c r="S13" i="4" s="1"/>
  <c r="P13" i="4" a="1"/>
  <c r="P13" i="4" s="1"/>
  <c r="B13" i="4" a="1"/>
  <c r="B13" i="4" s="1"/>
  <c r="D60" i="3"/>
  <c r="D52" i="3"/>
  <c r="D51" i="3"/>
  <c r="D50" i="3"/>
  <c r="D49" i="3"/>
  <c r="D48" i="3"/>
  <c r="D47" i="3"/>
  <c r="D46" i="3"/>
  <c r="D45" i="3"/>
  <c r="D44" i="3"/>
  <c r="D38" i="3"/>
  <c r="D43" i="3"/>
  <c r="D42" i="3"/>
  <c r="D41" i="3"/>
  <c r="D40" i="3"/>
  <c r="D39" i="3"/>
  <c r="D37" i="3"/>
  <c r="D36" i="3"/>
  <c r="D35" i="3"/>
  <c r="D34" i="3"/>
  <c r="D33" i="3"/>
  <c r="D32" i="3"/>
  <c r="D31" i="3"/>
  <c r="D30" i="3"/>
  <c r="D29" i="3"/>
  <c r="D28" i="3"/>
  <c r="D27" i="3"/>
  <c r="D26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G35" i="2"/>
  <c r="G33" i="2"/>
  <c r="G32" i="2"/>
  <c r="G24" i="2"/>
  <c r="G23" i="2"/>
  <c r="G10" i="2"/>
  <c r="E30" i="2" l="1"/>
  <c r="E29" i="2"/>
  <c r="E28" i="2"/>
  <c r="E27" i="2"/>
  <c r="E26" i="2"/>
  <c r="E25" i="2"/>
  <c r="E22" i="2"/>
  <c r="E21" i="2"/>
  <c r="E20" i="2"/>
  <c r="E18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G130" i="1" l="1"/>
  <c r="G129" i="1"/>
  <c r="G128" i="1"/>
  <c r="G127" i="1"/>
  <c r="G134" i="1"/>
  <c r="G133" i="1"/>
  <c r="G132" i="1"/>
  <c r="G131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48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A6F4C-0DAD-3B45-9017-DC5E99892DB9}" name="20240408 hmE AU930" type="6" refreshedVersion="8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<sst xmlns="http://schemas.openxmlformats.org/spreadsheetml/2006/main" count="1983" uniqueCount="146">
  <si>
    <t>Time</t>
  </si>
  <si>
    <t>UTC</t>
  </si>
  <si>
    <t>PN TDOA</t>
  </si>
  <si>
    <t>E Layer</t>
  </si>
  <si>
    <t>F2 Layer</t>
  </si>
  <si>
    <t>Average</t>
  </si>
  <si>
    <t>Chirp</t>
  </si>
  <si>
    <t>Number 1-10</t>
  </si>
  <si>
    <t>TDOA - ms</t>
  </si>
  <si>
    <t>Height - km</t>
  </si>
  <si>
    <t>Layer</t>
  </si>
  <si>
    <t>6, 7</t>
  </si>
  <si>
    <t>F2 TDOA</t>
  </si>
  <si>
    <t>Low beat</t>
  </si>
  <si>
    <t>TDOA</t>
  </si>
  <si>
    <t>Height from</t>
  </si>
  <si>
    <t>9,10</t>
  </si>
  <si>
    <t>.63-.68</t>
  </si>
  <si>
    <t>.476, .399</t>
  </si>
  <si>
    <t>2,5</t>
  </si>
  <si>
    <t>4,5</t>
  </si>
  <si>
    <t>7,8</t>
  </si>
  <si>
    <t>2,3,10</t>
  </si>
  <si>
    <t>6,7</t>
  </si>
  <si>
    <t xml:space="preserve"> </t>
  </si>
  <si>
    <t>Corr. F2</t>
  </si>
  <si>
    <t>N6RFM, 40m, EM12jw, 407km</t>
  </si>
  <si>
    <t>3,4</t>
  </si>
  <si>
    <t>1,6</t>
  </si>
  <si>
    <t>5,6</t>
  </si>
  <si>
    <t>4,10</t>
  </si>
  <si>
    <t>1,2</t>
  </si>
  <si>
    <t>o</t>
  </si>
  <si>
    <t>nosph</t>
  </si>
  <si>
    <t>eric Radi</t>
  </si>
  <si>
    <t>o Ob</t>
  </si>
  <si>
    <t>servat</t>
  </si>
  <si>
    <t>ory</t>
  </si>
  <si>
    <t>u</t>
  </si>
  <si>
    <t>lated</t>
  </si>
  <si>
    <t>Ionosphe</t>
  </si>
  <si>
    <t>ric</t>
  </si>
  <si>
    <t>Charac</t>
  </si>
  <si>
    <t>teri</t>
  </si>
  <si>
    <t>stics, Version 1.0 Revision B</t>
  </si>
  <si>
    <t>d</t>
  </si>
  <si>
    <t>by D</t>
  </si>
  <si>
    <t>IDBGetVal</t>
  </si>
  <si>
    <t>ues</t>
  </si>
  <si>
    <t>on 202</t>
  </si>
  <si>
    <t>-15T20:24:58.703Z</t>
  </si>
  <si>
    <t>:</t>
  </si>
  <si>
    <t>GEO</t>
  </si>
  <si>
    <t>30.4N 262</t>
  </si>
  <si>
    <t>.3E,</t>
  </si>
  <si>
    <t>URSI-</t>
  </si>
  <si>
    <t>Code</t>
  </si>
  <si>
    <t>AU930 AUSTIN</t>
  </si>
  <si>
    <t>n</t>
  </si>
  <si>
    <t>t: Io</t>
  </si>
  <si>
    <t>nosonde,</t>
  </si>
  <si>
    <t>Mode</t>
  </si>
  <si>
    <t>l: DGS</t>
  </si>
  <si>
    <t>r</t>
  </si>
  <si>
    <t>meas</t>
  </si>
  <si>
    <t>urement i</t>
  </si>
  <si>
    <t>nter</t>
  </si>
  <si>
    <t>vals o</t>
  </si>
  <si>
    <t>f ti</t>
  </si>
  <si>
    <t>me:</t>
  </si>
  <si>
    <t>8T00:</t>
  </si>
  <si>
    <t>Z -</t>
  </si>
  <si>
    <t>2024-0</t>
  </si>
  <si>
    <t>T00:00:00.000Z</t>
  </si>
  <si>
    <t>e</t>
  </si>
  <si>
    <t>ction</t>
  </si>
  <si>
    <t>t</t>
  </si>
  <si>
    <t>oscal</t>
  </si>
  <si>
    <t>ing Confi</t>
  </si>
  <si>
    <t>denc</t>
  </si>
  <si>
    <t>e Scor</t>
  </si>
  <si>
    <t>e (f</t>
  </si>
  <si>
    <t>rom 0 to 100, 999 if manual scaling, -1 if unknown)</t>
  </si>
  <si>
    <t>]</t>
  </si>
  <si>
    <t>ak height</t>
  </si>
  <si>
    <t>F2-</t>
  </si>
  <si>
    <t>layer</t>
  </si>
  <si>
    <t>measu</t>
  </si>
  <si>
    <t>rements a</t>
  </si>
  <si>
    <t>re r</t>
  </si>
  <si>
    <t>elease</t>
  </si>
  <si>
    <t>d un</t>
  </si>
  <si>
    <t>der CC-BY-NC-SA 4.0 license</t>
  </si>
  <si>
    <t>llow</t>
  </si>
  <si>
    <t>the Lowel</t>
  </si>
  <si>
    <t>l GI</t>
  </si>
  <si>
    <t>RO Dat</t>
  </si>
  <si>
    <t>a Ce</t>
  </si>
  <si>
    <t>nter RULES OF THE ROAD</t>
  </si>
  <si>
    <t>lcar.</t>
  </si>
  <si>
    <t>uml.edu/D</t>
  </si>
  <si>
    <t>IDBa</t>
  </si>
  <si>
    <t>se/Rul</t>
  </si>
  <si>
    <t>esOf</t>
  </si>
  <si>
    <t>TheRoadForDIDBase.htm</t>
  </si>
  <si>
    <t>ackno</t>
  </si>
  <si>
    <t>wledgemen</t>
  </si>
  <si>
    <t>t of</t>
  </si>
  <si>
    <t>AU930</t>
  </si>
  <si>
    <t>dat</t>
  </si>
  <si>
    <t>a provider</t>
  </si>
  <si>
    <t>Time-UTC</t>
  </si>
  <si>
    <t>CS</t>
  </si>
  <si>
    <t>hmF2</t>
  </si>
  <si>
    <t>QD</t>
  </si>
  <si>
    <t>T</t>
  </si>
  <si>
    <t>:05.000Z</t>
  </si>
  <si>
    <t>//</t>
  </si>
  <si>
    <t># Global I</t>
  </si>
  <si>
    <t># GIRO Tab</t>
  </si>
  <si>
    <t># Generate</t>
  </si>
  <si>
    <t>-15T20:25:55.024Z</t>
  </si>
  <si>
    <t>#</t>
  </si>
  <si>
    <t># Location</t>
  </si>
  <si>
    <t># Instrume</t>
  </si>
  <si>
    <t># Query fo</t>
  </si>
  <si>
    <t># 2024-04-</t>
  </si>
  <si>
    <t># Data Sel</t>
  </si>
  <si>
    <t># CS is Au</t>
  </si>
  <si>
    <t># hmE [km]</t>
  </si>
  <si>
    <t>k height</t>
  </si>
  <si>
    <t>of E</t>
  </si>
  <si>
    <t># All GIRO</t>
  </si>
  <si>
    <t># Please f</t>
  </si>
  <si>
    <t># https://</t>
  </si>
  <si>
    <t># Requires</t>
  </si>
  <si>
    <t>#Time</t>
  </si>
  <si>
    <t>hmE</t>
  </si>
  <si>
    <t>K1FR</t>
  </si>
  <si>
    <t>High Beat on 20:06 record=2.44ms, 2.34ms calculated from Ht=79.4*TDOA + 85.6</t>
  </si>
  <si>
    <t>High beat</t>
  </si>
  <si>
    <t>Normal</t>
  </si>
  <si>
    <t>1F2-1E</t>
  </si>
  <si>
    <t>2F2-1F2</t>
  </si>
  <si>
    <t>2F2-1E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</si>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</sst>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right"/>
    </xf>
    <xf numFmtId="47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TDOA Data Calculated from </a:t>
            </a:r>
          </a:p>
          <a:p>
            <a:pPr>
              <a:defRPr/>
            </a:pPr>
            <a:r>
              <a:rPr lang="en-US"/>
              <a:t>PN Bursts by Audacity Autocorrelator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B-9F42-A56A-BB4D5617B026}"/>
            </c:ext>
          </c:extLst>
        </c:ser>
        <c:ser>
          <c:idx val="1"/>
          <c:order val="1"/>
          <c:tx>
            <c:strRef>
              <c:f>'40m'!$C$1:$C$2</c:f>
              <c:strCache>
                <c:ptCount val="2"/>
                <c:pt idx="0">
                  <c:v>F2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'40m'!$C$3:$C$140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1.68</c:v>
                </c:pt>
                <c:pt idx="3">
                  <c:v>2.08</c:v>
                </c:pt>
                <c:pt idx="4">
                  <c:v>1.97</c:v>
                </c:pt>
                <c:pt idx="5">
                  <c:v>1.97</c:v>
                </c:pt>
                <c:pt idx="6">
                  <c:v>1.4</c:v>
                </c:pt>
                <c:pt idx="7">
                  <c:v>1.88</c:v>
                </c:pt>
                <c:pt idx="8">
                  <c:v>1.72</c:v>
                </c:pt>
                <c:pt idx="9">
                  <c:v>2.04</c:v>
                </c:pt>
                <c:pt idx="10">
                  <c:v>1.98</c:v>
                </c:pt>
                <c:pt idx="11">
                  <c:v>1.98</c:v>
                </c:pt>
                <c:pt idx="12">
                  <c:v>1.69</c:v>
                </c:pt>
                <c:pt idx="13">
                  <c:v>2.0499999999999998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1.7</c:v>
                </c:pt>
                <c:pt idx="19">
                  <c:v>1.7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1.71</c:v>
                </c:pt>
                <c:pt idx="25">
                  <c:v>2.0699999999999998</c:v>
                </c:pt>
                <c:pt idx="26">
                  <c:v>1.63</c:v>
                </c:pt>
                <c:pt idx="27">
                  <c:v>2.02</c:v>
                </c:pt>
                <c:pt idx="28">
                  <c:v>1.75</c:v>
                </c:pt>
                <c:pt idx="29">
                  <c:v>2.02</c:v>
                </c:pt>
                <c:pt idx="30">
                  <c:v>1.7</c:v>
                </c:pt>
                <c:pt idx="31">
                  <c:v>2.0699999999999998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1.69</c:v>
                </c:pt>
                <c:pt idx="39">
                  <c:v>2.02</c:v>
                </c:pt>
                <c:pt idx="40">
                  <c:v>1.73</c:v>
                </c:pt>
                <c:pt idx="41">
                  <c:v>2.08</c:v>
                </c:pt>
                <c:pt idx="42">
                  <c:v>1.7</c:v>
                </c:pt>
                <c:pt idx="43">
                  <c:v>2.0699999999999998</c:v>
                </c:pt>
                <c:pt idx="44">
                  <c:v>1.72</c:v>
                </c:pt>
                <c:pt idx="45">
                  <c:v>2.14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1.65</c:v>
                </c:pt>
                <c:pt idx="53">
                  <c:v>2.0499999999999998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1.67</c:v>
                </c:pt>
                <c:pt idx="57">
                  <c:v>2.0499999999999998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1.7</c:v>
                </c:pt>
                <c:pt idx="63">
                  <c:v>2.0699999999999998</c:v>
                </c:pt>
                <c:pt idx="64">
                  <c:v>1.63</c:v>
                </c:pt>
                <c:pt idx="65">
                  <c:v>2.04</c:v>
                </c:pt>
                <c:pt idx="66">
                  <c:v>1.69</c:v>
                </c:pt>
                <c:pt idx="67">
                  <c:v>2.0499999999999998</c:v>
                </c:pt>
                <c:pt idx="68">
                  <c:v>1.73</c:v>
                </c:pt>
                <c:pt idx="69">
                  <c:v>2.0699999999999998</c:v>
                </c:pt>
                <c:pt idx="70">
                  <c:v>1.73</c:v>
                </c:pt>
                <c:pt idx="71">
                  <c:v>2.11</c:v>
                </c:pt>
                <c:pt idx="72">
                  <c:v>2</c:v>
                </c:pt>
                <c:pt idx="73">
                  <c:v>2</c:v>
                </c:pt>
                <c:pt idx="74">
                  <c:v>1.47</c:v>
                </c:pt>
                <c:pt idx="75">
                  <c:v>1.94</c:v>
                </c:pt>
                <c:pt idx="76">
                  <c:v>1.72</c:v>
                </c:pt>
                <c:pt idx="77">
                  <c:v>2.04</c:v>
                </c:pt>
                <c:pt idx="78">
                  <c:v>1.74</c:v>
                </c:pt>
                <c:pt idx="79">
                  <c:v>2.02</c:v>
                </c:pt>
                <c:pt idx="80">
                  <c:v>1.68</c:v>
                </c:pt>
                <c:pt idx="81">
                  <c:v>2.06</c:v>
                </c:pt>
                <c:pt idx="82">
                  <c:v>1.66</c:v>
                </c:pt>
                <c:pt idx="83">
                  <c:v>2.0499999999999998</c:v>
                </c:pt>
                <c:pt idx="84">
                  <c:v>1.73</c:v>
                </c:pt>
                <c:pt idx="85">
                  <c:v>2.04</c:v>
                </c:pt>
                <c:pt idx="86">
                  <c:v>1.79</c:v>
                </c:pt>
                <c:pt idx="87">
                  <c:v>2.0099999999999998</c:v>
                </c:pt>
                <c:pt idx="88">
                  <c:v>1.74</c:v>
                </c:pt>
                <c:pt idx="89">
                  <c:v>2.06</c:v>
                </c:pt>
                <c:pt idx="90">
                  <c:v>1.72</c:v>
                </c:pt>
                <c:pt idx="91">
                  <c:v>2.02</c:v>
                </c:pt>
                <c:pt idx="92">
                  <c:v>1.72</c:v>
                </c:pt>
                <c:pt idx="93">
                  <c:v>2.0499999999999998</c:v>
                </c:pt>
                <c:pt idx="94">
                  <c:v>1.71</c:v>
                </c:pt>
                <c:pt idx="95">
                  <c:v>2.0499999999999998</c:v>
                </c:pt>
                <c:pt idx="96">
                  <c:v>1.67</c:v>
                </c:pt>
                <c:pt idx="97">
                  <c:v>2.0299999999999998</c:v>
                </c:pt>
                <c:pt idx="98">
                  <c:v>1.72</c:v>
                </c:pt>
                <c:pt idx="99">
                  <c:v>2.0299999999999998</c:v>
                </c:pt>
                <c:pt idx="100">
                  <c:v>1.74</c:v>
                </c:pt>
                <c:pt idx="101">
                  <c:v>2.0699999999999998</c:v>
                </c:pt>
                <c:pt idx="102">
                  <c:v>1.71</c:v>
                </c:pt>
                <c:pt idx="103">
                  <c:v>2.04</c:v>
                </c:pt>
                <c:pt idx="104">
                  <c:v>1.71</c:v>
                </c:pt>
                <c:pt idx="105">
                  <c:v>2.06</c:v>
                </c:pt>
                <c:pt idx="106">
                  <c:v>1.72</c:v>
                </c:pt>
                <c:pt idx="107">
                  <c:v>2.06</c:v>
                </c:pt>
                <c:pt idx="108">
                  <c:v>1.72</c:v>
                </c:pt>
                <c:pt idx="109">
                  <c:v>2.0499999999999998</c:v>
                </c:pt>
                <c:pt idx="110">
                  <c:v>1.72</c:v>
                </c:pt>
                <c:pt idx="111">
                  <c:v>2.0499999999999998</c:v>
                </c:pt>
                <c:pt idx="112">
                  <c:v>1.7</c:v>
                </c:pt>
                <c:pt idx="113">
                  <c:v>2.04</c:v>
                </c:pt>
                <c:pt idx="114">
                  <c:v>1.7</c:v>
                </c:pt>
                <c:pt idx="115">
                  <c:v>2.0699999999999998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1.72</c:v>
                </c:pt>
                <c:pt idx="121">
                  <c:v>2.0699999999999998</c:v>
                </c:pt>
                <c:pt idx="122">
                  <c:v>1.74</c:v>
                </c:pt>
                <c:pt idx="123">
                  <c:v>2.02</c:v>
                </c:pt>
                <c:pt idx="124">
                  <c:v>1.73</c:v>
                </c:pt>
                <c:pt idx="125">
                  <c:v>1.73</c:v>
                </c:pt>
                <c:pt idx="126">
                  <c:v>1.69</c:v>
                </c:pt>
                <c:pt idx="127">
                  <c:v>2.04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B-9F42-A56A-BB4D5617B026}"/>
            </c:ext>
          </c:extLst>
        </c:ser>
        <c:ser>
          <c:idx val="2"/>
          <c:order val="2"/>
          <c:tx>
            <c:strRef>
              <c:f>'40m'!$D$1:$D$2</c:f>
              <c:strCache>
                <c:ptCount val="2"/>
                <c:pt idx="0">
                  <c:v>Average</c:v>
                </c:pt>
                <c:pt idx="1">
                  <c:v>F2 TDOA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'40m'!$D$3:$D$140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1.88</c:v>
                </c:pt>
                <c:pt idx="3">
                  <c:v>1.88</c:v>
                </c:pt>
                <c:pt idx="4">
                  <c:v>1.97</c:v>
                </c:pt>
                <c:pt idx="5">
                  <c:v>1.97</c:v>
                </c:pt>
                <c:pt idx="6">
                  <c:v>1.64</c:v>
                </c:pt>
                <c:pt idx="7">
                  <c:v>1.64</c:v>
                </c:pt>
                <c:pt idx="8">
                  <c:v>1.88</c:v>
                </c:pt>
                <c:pt idx="9">
                  <c:v>1.88</c:v>
                </c:pt>
                <c:pt idx="10">
                  <c:v>1.98</c:v>
                </c:pt>
                <c:pt idx="11">
                  <c:v>1.98</c:v>
                </c:pt>
                <c:pt idx="12">
                  <c:v>1.87</c:v>
                </c:pt>
                <c:pt idx="13">
                  <c:v>1.87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1.92</c:v>
                </c:pt>
                <c:pt idx="19">
                  <c:v>1.92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1.89</c:v>
                </c:pt>
                <c:pt idx="25">
                  <c:v>1.89</c:v>
                </c:pt>
                <c:pt idx="26">
                  <c:v>1.89</c:v>
                </c:pt>
                <c:pt idx="27">
                  <c:v>1.89</c:v>
                </c:pt>
                <c:pt idx="28">
                  <c:v>1.89</c:v>
                </c:pt>
                <c:pt idx="29">
                  <c:v>1.89</c:v>
                </c:pt>
                <c:pt idx="30">
                  <c:v>1.89</c:v>
                </c:pt>
                <c:pt idx="31">
                  <c:v>1.89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1.86</c:v>
                </c:pt>
                <c:pt idx="39">
                  <c:v>1.86</c:v>
                </c:pt>
                <c:pt idx="40">
                  <c:v>1.91</c:v>
                </c:pt>
                <c:pt idx="41">
                  <c:v>1.91</c:v>
                </c:pt>
                <c:pt idx="42">
                  <c:v>1.89</c:v>
                </c:pt>
                <c:pt idx="43">
                  <c:v>1.89</c:v>
                </c:pt>
                <c:pt idx="44">
                  <c:v>1.93</c:v>
                </c:pt>
                <c:pt idx="45">
                  <c:v>1.93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1.85</c:v>
                </c:pt>
                <c:pt idx="53">
                  <c:v>1.85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1.86</c:v>
                </c:pt>
                <c:pt idx="57">
                  <c:v>1.86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1.89</c:v>
                </c:pt>
                <c:pt idx="63">
                  <c:v>1.89</c:v>
                </c:pt>
                <c:pt idx="64">
                  <c:v>1.84</c:v>
                </c:pt>
                <c:pt idx="65">
                  <c:v>1.84</c:v>
                </c:pt>
                <c:pt idx="66">
                  <c:v>1.89</c:v>
                </c:pt>
                <c:pt idx="67">
                  <c:v>1.89</c:v>
                </c:pt>
                <c:pt idx="68">
                  <c:v>1.9</c:v>
                </c:pt>
                <c:pt idx="69">
                  <c:v>1.9</c:v>
                </c:pt>
                <c:pt idx="70">
                  <c:v>1.92</c:v>
                </c:pt>
                <c:pt idx="71">
                  <c:v>1.92</c:v>
                </c:pt>
                <c:pt idx="72">
                  <c:v>2</c:v>
                </c:pt>
                <c:pt idx="73">
                  <c:v>2</c:v>
                </c:pt>
                <c:pt idx="74">
                  <c:v>1.76</c:v>
                </c:pt>
                <c:pt idx="75">
                  <c:v>1.76</c:v>
                </c:pt>
                <c:pt idx="76">
                  <c:v>1.88</c:v>
                </c:pt>
                <c:pt idx="77">
                  <c:v>1.88</c:v>
                </c:pt>
                <c:pt idx="78">
                  <c:v>1.88</c:v>
                </c:pt>
                <c:pt idx="79">
                  <c:v>1.88</c:v>
                </c:pt>
                <c:pt idx="80">
                  <c:v>1.86</c:v>
                </c:pt>
                <c:pt idx="81">
                  <c:v>1.86</c:v>
                </c:pt>
                <c:pt idx="82">
                  <c:v>1.86</c:v>
                </c:pt>
                <c:pt idx="83">
                  <c:v>1.86</c:v>
                </c:pt>
                <c:pt idx="84">
                  <c:v>1.89</c:v>
                </c:pt>
                <c:pt idx="85">
                  <c:v>1.89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1.87</c:v>
                </c:pt>
                <c:pt idx="91">
                  <c:v>1.87</c:v>
                </c:pt>
                <c:pt idx="92">
                  <c:v>1.89</c:v>
                </c:pt>
                <c:pt idx="93">
                  <c:v>1.89</c:v>
                </c:pt>
                <c:pt idx="94">
                  <c:v>1.88</c:v>
                </c:pt>
                <c:pt idx="95">
                  <c:v>1.88</c:v>
                </c:pt>
                <c:pt idx="96">
                  <c:v>1.85</c:v>
                </c:pt>
                <c:pt idx="97">
                  <c:v>1.85</c:v>
                </c:pt>
                <c:pt idx="98">
                  <c:v>1.88</c:v>
                </c:pt>
                <c:pt idx="99">
                  <c:v>1.88</c:v>
                </c:pt>
                <c:pt idx="100">
                  <c:v>1.91</c:v>
                </c:pt>
                <c:pt idx="101">
                  <c:v>1.91</c:v>
                </c:pt>
                <c:pt idx="102">
                  <c:v>1.88</c:v>
                </c:pt>
                <c:pt idx="103">
                  <c:v>1.88</c:v>
                </c:pt>
                <c:pt idx="104">
                  <c:v>1.89</c:v>
                </c:pt>
                <c:pt idx="105">
                  <c:v>1.89</c:v>
                </c:pt>
                <c:pt idx="106">
                  <c:v>1.89</c:v>
                </c:pt>
                <c:pt idx="107">
                  <c:v>1.89</c:v>
                </c:pt>
                <c:pt idx="108">
                  <c:v>1.89</c:v>
                </c:pt>
                <c:pt idx="109">
                  <c:v>1.89</c:v>
                </c:pt>
                <c:pt idx="110">
                  <c:v>1.89</c:v>
                </c:pt>
                <c:pt idx="111">
                  <c:v>1.89</c:v>
                </c:pt>
                <c:pt idx="112">
                  <c:v>1.87</c:v>
                </c:pt>
                <c:pt idx="113">
                  <c:v>1.87</c:v>
                </c:pt>
                <c:pt idx="114">
                  <c:v>1.89</c:v>
                </c:pt>
                <c:pt idx="115">
                  <c:v>1.89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1.88</c:v>
                </c:pt>
                <c:pt idx="121">
                  <c:v>1.88</c:v>
                </c:pt>
                <c:pt idx="122">
                  <c:v>1.88</c:v>
                </c:pt>
                <c:pt idx="123">
                  <c:v>1.88</c:v>
                </c:pt>
                <c:pt idx="124">
                  <c:v>1.73</c:v>
                </c:pt>
                <c:pt idx="125">
                  <c:v>1.73</c:v>
                </c:pt>
                <c:pt idx="126">
                  <c:v>1.75</c:v>
                </c:pt>
                <c:pt idx="127">
                  <c:v>1.75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B-9F42-A56A-BB4D5617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- UTC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5041-8F4C-B38B8B68845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3A-464C-96CD-63469D9AA17D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A-464C-96CD-63469D9AA17D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3A-464C-96CD-63469D9A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4-4848-AD6C-96AD22CBA44C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EE-DB4B-B0B3-E12ED5BE8823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E-DB4B-B0B3-E12ED5BE8823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E-DB4B-B0B3-E12ED5BE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36-B648-AD64-247C8EE57930}"/>
            </c:ext>
          </c:extLst>
        </c:ser>
        <c:ser>
          <c:idx val="4"/>
          <c:order val="2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36-B648-AD64-247C8EE57930}"/>
            </c:ext>
          </c:extLst>
        </c:ser>
        <c:ser>
          <c:idx val="5"/>
          <c:order val="3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F1B-442A-A46D-5EFAF78F1665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1B-442A-A46D-5EFAF78F1665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1B-442A-A46D-5EFAF78F1665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</a:t>
            </a:r>
          </a:p>
          <a:p>
            <a:pPr>
              <a:defRPr/>
            </a:pPr>
            <a:r>
              <a:rPr lang="en-US" baseline="0"/>
              <a:t>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BA0-4383-86D5-0555BBD1EFAC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A0-4383-86D5-0555BBD1EFAC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0-4383-86D5-0555BBD1EFAC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A0-4383-86D5-0555BBD1EFAC}"/>
            </c:ext>
          </c:extLst>
        </c:ser>
        <c:ser>
          <c:idx val="1"/>
          <c:order val="5"/>
          <c:tx>
            <c:strRef>
              <c:f>Austin!$E$19:$E$20</c:f>
              <c:strCache>
                <c:ptCount val="2"/>
                <c:pt idx="0">
                  <c:v>Austin</c:v>
                </c:pt>
                <c:pt idx="1">
                  <c:v>hmF2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Austin!$B$189:$B$259</c:f>
              <c:numCache>
                <c:formatCode>h:mm;@</c:formatCode>
                <c:ptCount val="71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</c:numCache>
            </c:numRef>
          </c:xVal>
          <c:yVal>
            <c:numRef>
              <c:f>Austin!$E$189:$E$259</c:f>
              <c:numCache>
                <c:formatCode>General</c:formatCode>
                <c:ptCount val="71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C8-4E45-9A91-0A3226655895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C8-4E45-9A91-0A3226655895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C8-4E45-9A91-0A322665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C8-4E45-9A91-0A3226655895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C8-4E45-9A91-0A322665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A-E64D-8AF5-85EAD6991EDF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3A-E64D-8AF5-85EAD6991EDF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3A-E64D-8AF5-85EAD6991EDF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hmF2</a:t>
            </a:r>
          </a:p>
          <a:p>
            <a:pPr>
              <a:defRPr/>
            </a:pPr>
            <a:r>
              <a:rPr lang="en-US"/>
              <a:t> Eclipse Day April 8,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07776605243931"/>
          <c:y val="0.21724409448818902"/>
          <c:w val="0.82993769786508642"/>
          <c:h val="0.60087234174468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36-854F-A5B7-6918510AC2EB}"/>
            </c:ext>
          </c:extLst>
        </c:ser>
        <c:ser>
          <c:idx val="1"/>
          <c:order val="1"/>
          <c:tx>
            <c:v>hmE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Austin!$P$177:$P$273</c:f>
              <c:numCache>
                <c:formatCode>h:mm</c:formatCode>
                <c:ptCount val="97"/>
                <c:pt idx="0">
                  <c:v>0.54166666666666663</c:v>
                </c:pt>
                <c:pt idx="1">
                  <c:v>0.54513888888888884</c:v>
                </c:pt>
                <c:pt idx="2">
                  <c:v>0.54861111111111116</c:v>
                </c:pt>
                <c:pt idx="3">
                  <c:v>0.55208333333333337</c:v>
                </c:pt>
                <c:pt idx="4">
                  <c:v>0.55555555555555558</c:v>
                </c:pt>
                <c:pt idx="5">
                  <c:v>0.55902777777777779</c:v>
                </c:pt>
                <c:pt idx="6">
                  <c:v>0.5625</c:v>
                </c:pt>
                <c:pt idx="7">
                  <c:v>0.56597222222222221</c:v>
                </c:pt>
                <c:pt idx="8">
                  <c:v>0.56944444444444442</c:v>
                </c:pt>
                <c:pt idx="9">
                  <c:v>0.57291666666666663</c:v>
                </c:pt>
                <c:pt idx="10">
                  <c:v>0.57638888888888884</c:v>
                </c:pt>
                <c:pt idx="11">
                  <c:v>0.57986111111111116</c:v>
                </c:pt>
                <c:pt idx="12">
                  <c:v>0.58333333333333337</c:v>
                </c:pt>
                <c:pt idx="13">
                  <c:v>0.58680555555555558</c:v>
                </c:pt>
                <c:pt idx="14">
                  <c:v>0.59027777777777779</c:v>
                </c:pt>
                <c:pt idx="15">
                  <c:v>0.59375</c:v>
                </c:pt>
                <c:pt idx="16">
                  <c:v>0.59722222222222221</c:v>
                </c:pt>
                <c:pt idx="17">
                  <c:v>0.60069444444444442</c:v>
                </c:pt>
                <c:pt idx="18">
                  <c:v>0.60416666666666663</c:v>
                </c:pt>
                <c:pt idx="19">
                  <c:v>0.60763888888888884</c:v>
                </c:pt>
                <c:pt idx="20">
                  <c:v>0.61111111111111116</c:v>
                </c:pt>
                <c:pt idx="21">
                  <c:v>0.61458333333333337</c:v>
                </c:pt>
                <c:pt idx="22">
                  <c:v>0.61805555555555558</c:v>
                </c:pt>
                <c:pt idx="23">
                  <c:v>0.62152777777777779</c:v>
                </c:pt>
                <c:pt idx="24">
                  <c:v>0.625</c:v>
                </c:pt>
                <c:pt idx="25">
                  <c:v>0.62847222222222221</c:v>
                </c:pt>
                <c:pt idx="26">
                  <c:v>0.63194444444444442</c:v>
                </c:pt>
                <c:pt idx="27">
                  <c:v>0.63541666666666663</c:v>
                </c:pt>
                <c:pt idx="28">
                  <c:v>0.63888888888888884</c:v>
                </c:pt>
                <c:pt idx="29">
                  <c:v>0.64236111111111116</c:v>
                </c:pt>
                <c:pt idx="30">
                  <c:v>0.64583333333333337</c:v>
                </c:pt>
                <c:pt idx="31">
                  <c:v>0.64930555555555558</c:v>
                </c:pt>
                <c:pt idx="32">
                  <c:v>0.65277777777777779</c:v>
                </c:pt>
                <c:pt idx="33">
                  <c:v>0.65625</c:v>
                </c:pt>
                <c:pt idx="34">
                  <c:v>0.65972222222222221</c:v>
                </c:pt>
                <c:pt idx="35">
                  <c:v>0.66319444444444442</c:v>
                </c:pt>
                <c:pt idx="36">
                  <c:v>0.66666666666666663</c:v>
                </c:pt>
                <c:pt idx="37">
                  <c:v>0.67013888888888884</c:v>
                </c:pt>
                <c:pt idx="38">
                  <c:v>0.67361111111111116</c:v>
                </c:pt>
                <c:pt idx="39">
                  <c:v>0.67708333333333337</c:v>
                </c:pt>
                <c:pt idx="40">
                  <c:v>0.68055555555555558</c:v>
                </c:pt>
                <c:pt idx="41">
                  <c:v>0.68402777777777779</c:v>
                </c:pt>
                <c:pt idx="42">
                  <c:v>0.6875</c:v>
                </c:pt>
                <c:pt idx="43">
                  <c:v>0.69097222222222221</c:v>
                </c:pt>
                <c:pt idx="44">
                  <c:v>0.69444444444444442</c:v>
                </c:pt>
                <c:pt idx="45">
                  <c:v>0.69791666666666663</c:v>
                </c:pt>
                <c:pt idx="46">
                  <c:v>0.70138888888888884</c:v>
                </c:pt>
                <c:pt idx="47">
                  <c:v>0.70486111111111116</c:v>
                </c:pt>
                <c:pt idx="48">
                  <c:v>0.70833333333333337</c:v>
                </c:pt>
                <c:pt idx="49">
                  <c:v>0.71180555555555558</c:v>
                </c:pt>
                <c:pt idx="50">
                  <c:v>0.71527777777777779</c:v>
                </c:pt>
                <c:pt idx="51">
                  <c:v>0.71875</c:v>
                </c:pt>
                <c:pt idx="52">
                  <c:v>0.72222222222222221</c:v>
                </c:pt>
                <c:pt idx="53">
                  <c:v>0.72569444444444442</c:v>
                </c:pt>
                <c:pt idx="54">
                  <c:v>0.72916666666666663</c:v>
                </c:pt>
                <c:pt idx="55">
                  <c:v>0.73263888888888884</c:v>
                </c:pt>
                <c:pt idx="56">
                  <c:v>0.73611111111111116</c:v>
                </c:pt>
                <c:pt idx="57">
                  <c:v>0.73958333333333337</c:v>
                </c:pt>
                <c:pt idx="58">
                  <c:v>0.74305555555555558</c:v>
                </c:pt>
                <c:pt idx="59">
                  <c:v>0.74652777777777779</c:v>
                </c:pt>
                <c:pt idx="60">
                  <c:v>0.75</c:v>
                </c:pt>
                <c:pt idx="61">
                  <c:v>0.75347222222222221</c:v>
                </c:pt>
                <c:pt idx="62">
                  <c:v>0.75694444444444442</c:v>
                </c:pt>
                <c:pt idx="63">
                  <c:v>0.76041666666666663</c:v>
                </c:pt>
                <c:pt idx="64">
                  <c:v>0.76388888888888884</c:v>
                </c:pt>
                <c:pt idx="65">
                  <c:v>0.76736111111111116</c:v>
                </c:pt>
                <c:pt idx="66">
                  <c:v>0.77083333333333337</c:v>
                </c:pt>
                <c:pt idx="67">
                  <c:v>0.77430555555555558</c:v>
                </c:pt>
                <c:pt idx="68">
                  <c:v>0.77777777777777779</c:v>
                </c:pt>
                <c:pt idx="69">
                  <c:v>0.78125</c:v>
                </c:pt>
                <c:pt idx="70">
                  <c:v>0.78472222222222221</c:v>
                </c:pt>
                <c:pt idx="71">
                  <c:v>0.78819444444444442</c:v>
                </c:pt>
                <c:pt idx="72">
                  <c:v>0.79166666666666663</c:v>
                </c:pt>
                <c:pt idx="73">
                  <c:v>0.79513888888888884</c:v>
                </c:pt>
                <c:pt idx="74">
                  <c:v>0.79861111111111116</c:v>
                </c:pt>
                <c:pt idx="75">
                  <c:v>0.80208333333333337</c:v>
                </c:pt>
                <c:pt idx="76">
                  <c:v>0.80555555555555558</c:v>
                </c:pt>
                <c:pt idx="77">
                  <c:v>0.80902777777777779</c:v>
                </c:pt>
                <c:pt idx="78">
                  <c:v>0.8125</c:v>
                </c:pt>
                <c:pt idx="79">
                  <c:v>0.81597222222222221</c:v>
                </c:pt>
                <c:pt idx="80">
                  <c:v>0.81944444444444442</c:v>
                </c:pt>
                <c:pt idx="81">
                  <c:v>0.82291666666666663</c:v>
                </c:pt>
                <c:pt idx="82">
                  <c:v>0.82638888888888884</c:v>
                </c:pt>
                <c:pt idx="83">
                  <c:v>0.82986111111111116</c:v>
                </c:pt>
                <c:pt idx="84">
                  <c:v>0.83333333333333337</c:v>
                </c:pt>
                <c:pt idx="85">
                  <c:v>0.83680555555555558</c:v>
                </c:pt>
                <c:pt idx="86">
                  <c:v>0.84027777777777779</c:v>
                </c:pt>
                <c:pt idx="87">
                  <c:v>0.84375</c:v>
                </c:pt>
                <c:pt idx="88">
                  <c:v>0.84722222222222221</c:v>
                </c:pt>
                <c:pt idx="89">
                  <c:v>0.85069444444444442</c:v>
                </c:pt>
                <c:pt idx="90">
                  <c:v>0.85416666666666663</c:v>
                </c:pt>
                <c:pt idx="91">
                  <c:v>0.85763888888888884</c:v>
                </c:pt>
                <c:pt idx="92">
                  <c:v>0.86111111111111116</c:v>
                </c:pt>
                <c:pt idx="93">
                  <c:v>0.86458333333333337</c:v>
                </c:pt>
                <c:pt idx="94">
                  <c:v>0.86805555555555558</c:v>
                </c:pt>
                <c:pt idx="95">
                  <c:v>0.87152777777777779</c:v>
                </c:pt>
                <c:pt idx="96">
                  <c:v>0.875</c:v>
                </c:pt>
              </c:numCache>
            </c:numRef>
          </c:xVal>
          <c:yVal>
            <c:numRef>
              <c:f>Austin!$S$177:$S$273</c:f>
              <c:numCache>
                <c:formatCode>General</c:formatCode>
                <c:ptCount val="97"/>
                <c:pt idx="0">
                  <c:v>110</c:v>
                </c:pt>
                <c:pt idx="1">
                  <c:v>98.1</c:v>
                </c:pt>
                <c:pt idx="2">
                  <c:v>104.4</c:v>
                </c:pt>
                <c:pt idx="3">
                  <c:v>110</c:v>
                </c:pt>
                <c:pt idx="4">
                  <c:v>107.4</c:v>
                </c:pt>
                <c:pt idx="5">
                  <c:v>105.3</c:v>
                </c:pt>
                <c:pt idx="6">
                  <c:v>110</c:v>
                </c:pt>
                <c:pt idx="7">
                  <c:v>98.8</c:v>
                </c:pt>
                <c:pt idx="8">
                  <c:v>92.8</c:v>
                </c:pt>
                <c:pt idx="9">
                  <c:v>103.2</c:v>
                </c:pt>
                <c:pt idx="10">
                  <c:v>110</c:v>
                </c:pt>
                <c:pt idx="11">
                  <c:v>108.5</c:v>
                </c:pt>
                <c:pt idx="12">
                  <c:v>101.2</c:v>
                </c:pt>
                <c:pt idx="13">
                  <c:v>101</c:v>
                </c:pt>
                <c:pt idx="14">
                  <c:v>110</c:v>
                </c:pt>
                <c:pt idx="15">
                  <c:v>97.2</c:v>
                </c:pt>
                <c:pt idx="16">
                  <c:v>97.4</c:v>
                </c:pt>
                <c:pt idx="17">
                  <c:v>97.1</c:v>
                </c:pt>
                <c:pt idx="18">
                  <c:v>89.6</c:v>
                </c:pt>
                <c:pt idx="19">
                  <c:v>90.3</c:v>
                </c:pt>
                <c:pt idx="20">
                  <c:v>110</c:v>
                </c:pt>
                <c:pt idx="21">
                  <c:v>98.7</c:v>
                </c:pt>
                <c:pt idx="22">
                  <c:v>110</c:v>
                </c:pt>
                <c:pt idx="23">
                  <c:v>91.5</c:v>
                </c:pt>
                <c:pt idx="24">
                  <c:v>88.5</c:v>
                </c:pt>
                <c:pt idx="25">
                  <c:v>90</c:v>
                </c:pt>
                <c:pt idx="26">
                  <c:v>102.3</c:v>
                </c:pt>
                <c:pt idx="27">
                  <c:v>97.7</c:v>
                </c:pt>
                <c:pt idx="28">
                  <c:v>89.8</c:v>
                </c:pt>
                <c:pt idx="29">
                  <c:v>110</c:v>
                </c:pt>
                <c:pt idx="30">
                  <c:v>100</c:v>
                </c:pt>
                <c:pt idx="31">
                  <c:v>90.8</c:v>
                </c:pt>
                <c:pt idx="32">
                  <c:v>93.8</c:v>
                </c:pt>
                <c:pt idx="33">
                  <c:v>93.1</c:v>
                </c:pt>
                <c:pt idx="34">
                  <c:v>110</c:v>
                </c:pt>
                <c:pt idx="35">
                  <c:v>107.2</c:v>
                </c:pt>
                <c:pt idx="36">
                  <c:v>110</c:v>
                </c:pt>
                <c:pt idx="37">
                  <c:v>119.1</c:v>
                </c:pt>
                <c:pt idx="38">
                  <c:v>97.2</c:v>
                </c:pt>
                <c:pt idx="39">
                  <c:v>97</c:v>
                </c:pt>
                <c:pt idx="40">
                  <c:v>101.5</c:v>
                </c:pt>
                <c:pt idx="41">
                  <c:v>100.8</c:v>
                </c:pt>
                <c:pt idx="42">
                  <c:v>108.4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101.1</c:v>
                </c:pt>
                <c:pt idx="47">
                  <c:v>110</c:v>
                </c:pt>
                <c:pt idx="48">
                  <c:v>103.4</c:v>
                </c:pt>
                <c:pt idx="49">
                  <c:v>96.5</c:v>
                </c:pt>
                <c:pt idx="50">
                  <c:v>110</c:v>
                </c:pt>
                <c:pt idx="51">
                  <c:v>120.5</c:v>
                </c:pt>
                <c:pt idx="52">
                  <c:v>110</c:v>
                </c:pt>
                <c:pt idx="53">
                  <c:v>110</c:v>
                </c:pt>
                <c:pt idx="54">
                  <c:v>101.2</c:v>
                </c:pt>
                <c:pt idx="55">
                  <c:v>111</c:v>
                </c:pt>
                <c:pt idx="56">
                  <c:v>110</c:v>
                </c:pt>
                <c:pt idx="57">
                  <c:v>110</c:v>
                </c:pt>
                <c:pt idx="58">
                  <c:v>110</c:v>
                </c:pt>
                <c:pt idx="59">
                  <c:v>110</c:v>
                </c:pt>
                <c:pt idx="60">
                  <c:v>97.5</c:v>
                </c:pt>
                <c:pt idx="61">
                  <c:v>90.3</c:v>
                </c:pt>
                <c:pt idx="62">
                  <c:v>97.8</c:v>
                </c:pt>
                <c:pt idx="63">
                  <c:v>110</c:v>
                </c:pt>
                <c:pt idx="64">
                  <c:v>105.3</c:v>
                </c:pt>
                <c:pt idx="65">
                  <c:v>113.8</c:v>
                </c:pt>
                <c:pt idx="66">
                  <c:v>119.6</c:v>
                </c:pt>
                <c:pt idx="67">
                  <c:v>110</c:v>
                </c:pt>
                <c:pt idx="68">
                  <c:v>110</c:v>
                </c:pt>
                <c:pt idx="69">
                  <c:v>116.1</c:v>
                </c:pt>
                <c:pt idx="70">
                  <c:v>108.6</c:v>
                </c:pt>
                <c:pt idx="71">
                  <c:v>110</c:v>
                </c:pt>
                <c:pt idx="72">
                  <c:v>110</c:v>
                </c:pt>
                <c:pt idx="73">
                  <c:v>114.5</c:v>
                </c:pt>
                <c:pt idx="74">
                  <c:v>100.9</c:v>
                </c:pt>
                <c:pt idx="75">
                  <c:v>99.4</c:v>
                </c:pt>
                <c:pt idx="76">
                  <c:v>93.7</c:v>
                </c:pt>
                <c:pt idx="77">
                  <c:v>110</c:v>
                </c:pt>
                <c:pt idx="78">
                  <c:v>120.2</c:v>
                </c:pt>
                <c:pt idx="79">
                  <c:v>85.8</c:v>
                </c:pt>
                <c:pt idx="80">
                  <c:v>93.4</c:v>
                </c:pt>
                <c:pt idx="81">
                  <c:v>89.6</c:v>
                </c:pt>
                <c:pt idx="82">
                  <c:v>110</c:v>
                </c:pt>
                <c:pt idx="83">
                  <c:v>107.3</c:v>
                </c:pt>
                <c:pt idx="84">
                  <c:v>110</c:v>
                </c:pt>
                <c:pt idx="85">
                  <c:v>110</c:v>
                </c:pt>
                <c:pt idx="86">
                  <c:v>101.9</c:v>
                </c:pt>
                <c:pt idx="87">
                  <c:v>123.3</c:v>
                </c:pt>
                <c:pt idx="88">
                  <c:v>93.6</c:v>
                </c:pt>
                <c:pt idx="89">
                  <c:v>110</c:v>
                </c:pt>
                <c:pt idx="90">
                  <c:v>99.1</c:v>
                </c:pt>
                <c:pt idx="91">
                  <c:v>110</c:v>
                </c:pt>
                <c:pt idx="92">
                  <c:v>105.3</c:v>
                </c:pt>
                <c:pt idx="93">
                  <c:v>95.5</c:v>
                </c:pt>
                <c:pt idx="94">
                  <c:v>118.5</c:v>
                </c:pt>
                <c:pt idx="95">
                  <c:v>95.6</c:v>
                </c:pt>
                <c:pt idx="96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36-854F-A5B7-6918510A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4.1666666999999998E-2"/>
        <c:minorUnit val="1.04166667E-2"/>
      </c:valAx>
      <c:valAx>
        <c:axId val="829108096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89950482993751"/>
          <c:y val="0.93356252712505428"/>
          <c:w val="0.26197418621641366"/>
          <c:h val="6.643747287494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6-5647-88CE-F4C55929312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1-4B44-8B29-450EDDCA79D5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0D-2248-A544-CD31BB89DE3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0D-2248-A544-CD31BB89DE3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0D-2248-A544-CD31BB89DE3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0D-2248-A544-CD31BB89DE3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0308737181048"/>
          <c:y val="0.86532667791526052"/>
          <c:w val="0.52593825256379034"/>
          <c:h val="0.12276856017997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F-4531-9CC5-5B6AB2035162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7F-4531-9CC5-5B6AB203516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7F-4531-9CC5-5B6AB203516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7F-4531-9CC5-5B6AB203516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7F-4531-9CC5-5B6AB203516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7F-4531-9CC5-5B6AB2035162}"/>
            </c:ext>
          </c:extLst>
        </c:ser>
        <c:ser>
          <c:idx val="6"/>
          <c:order val="6"/>
          <c:tx>
            <c:v>Austin hmF2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Austin!$B$189:$B$265</c:f>
              <c:numCache>
                <c:formatCode>h:mm;@</c:formatCode>
                <c:ptCount val="77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  <c:pt idx="71">
                  <c:v>0.83680555555555558</c:v>
                </c:pt>
                <c:pt idx="72">
                  <c:v>0.84027777777777779</c:v>
                </c:pt>
                <c:pt idx="73">
                  <c:v>0.84375</c:v>
                </c:pt>
                <c:pt idx="74">
                  <c:v>0.84722222222222221</c:v>
                </c:pt>
                <c:pt idx="75">
                  <c:v>0.85069444444444442</c:v>
                </c:pt>
                <c:pt idx="76">
                  <c:v>0.85416666666666663</c:v>
                </c:pt>
              </c:numCache>
            </c:numRef>
          </c:xVal>
          <c:yVal>
            <c:numRef>
              <c:f>Austin!$E$189:$E$265</c:f>
              <c:numCache>
                <c:formatCode>General</c:formatCode>
                <c:ptCount val="77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  <c:pt idx="71">
                  <c:v>301.8</c:v>
                </c:pt>
                <c:pt idx="72">
                  <c:v>269.89999999999998</c:v>
                </c:pt>
                <c:pt idx="73">
                  <c:v>273.39999999999998</c:v>
                </c:pt>
                <c:pt idx="74">
                  <c:v>244.3</c:v>
                </c:pt>
                <c:pt idx="75">
                  <c:v>258</c:v>
                </c:pt>
                <c:pt idx="76">
                  <c:v>271.2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38618939079983"/>
          <c:y val="0.86836425215985302"/>
          <c:w val="0.51556154164939905"/>
          <c:h val="0.11948507955339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04/08/2024 </a:t>
            </a:r>
            <a:r>
              <a:rPr lang="en-US">
                <a:solidFill>
                  <a:schemeClr val="tx1"/>
                </a:solidFill>
              </a:rPr>
              <a:t>N6RFM 407 km 7.3</a:t>
            </a:r>
            <a:r>
              <a:rPr lang="en-US" baseline="0">
                <a:solidFill>
                  <a:schemeClr val="tx1"/>
                </a:solidFill>
              </a:rPr>
              <a:t> MHz Outlier TDOA Data</a:t>
            </a:r>
            <a:r>
              <a:rPr lang="en-US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94-4EA6-880B-D05FD4802A67}"/>
            </c:ext>
          </c:extLst>
        </c:ser>
        <c:ser>
          <c:idx val="0"/>
          <c:order val="2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94-4EA6-880B-D05FD480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5"/>
          <c:order val="1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94-4EA6-880B-D05FD4802A67}"/>
            </c:ext>
          </c:extLst>
        </c:ser>
        <c:ser>
          <c:idx val="1"/>
          <c:order val="3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94-4EA6-880B-D05FD4802A67}"/>
            </c:ext>
          </c:extLst>
        </c:ser>
        <c:ser>
          <c:idx val="6"/>
          <c:order val="4"/>
          <c:tx>
            <c:v>Austin hmF2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Austin!$B$189:$B$265</c:f>
              <c:numCache>
                <c:formatCode>h:mm;@</c:formatCode>
                <c:ptCount val="77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  <c:pt idx="71">
                  <c:v>0.83680555555555558</c:v>
                </c:pt>
                <c:pt idx="72">
                  <c:v>0.84027777777777779</c:v>
                </c:pt>
                <c:pt idx="73">
                  <c:v>0.84375</c:v>
                </c:pt>
                <c:pt idx="74">
                  <c:v>0.84722222222222221</c:v>
                </c:pt>
                <c:pt idx="75">
                  <c:v>0.85069444444444442</c:v>
                </c:pt>
                <c:pt idx="76">
                  <c:v>0.85416666666666663</c:v>
                </c:pt>
              </c:numCache>
            </c:numRef>
          </c:xVal>
          <c:yVal>
            <c:numRef>
              <c:f>Austin!$E$189:$E$265</c:f>
              <c:numCache>
                <c:formatCode>General</c:formatCode>
                <c:ptCount val="77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  <c:pt idx="71">
                  <c:v>301.8</c:v>
                </c:pt>
                <c:pt idx="72">
                  <c:v>269.89999999999998</c:v>
                </c:pt>
                <c:pt idx="73">
                  <c:v>273.39999999999998</c:v>
                </c:pt>
                <c:pt idx="74">
                  <c:v>244.3</c:v>
                </c:pt>
                <c:pt idx="75">
                  <c:v>258</c:v>
                </c:pt>
                <c:pt idx="76">
                  <c:v>271.2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94-4EA6-880B-D05FD480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4-E842-B358-B171D279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</a:t>
            </a:r>
          </a:p>
          <a:p>
            <a:pPr>
              <a:defRPr/>
            </a:pPr>
            <a:r>
              <a:rPr lang="en-US"/>
              <a:t>2024</a:t>
            </a:r>
            <a:r>
              <a:rPr lang="en-US" baseline="0"/>
              <a:t> Eclipse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[2]hmF2!$C$21:$C$306</c:f>
              <c:numCache>
                <c:formatCode>General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B-8741-B485-7E192735F88D}"/>
            </c:ext>
          </c:extLst>
        </c:ser>
        <c:ser>
          <c:idx val="1"/>
          <c:order val="1"/>
          <c:tx>
            <c:strRef>
              <c:f>[2]hmF1!$F$20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[2]hmF1!$C$21:$C$93</c:f>
              <c:numCache>
                <c:formatCode>General</c:formatCode>
                <c:ptCount val="73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0.72222222222222221</c:v>
                </c:pt>
                <c:pt idx="31">
                  <c:v>0.72569444444444442</c:v>
                </c:pt>
                <c:pt idx="32">
                  <c:v>0.72916666666666663</c:v>
                </c:pt>
                <c:pt idx="33">
                  <c:v>0.73263888888888884</c:v>
                </c:pt>
                <c:pt idx="34">
                  <c:v>0.73611111111111116</c:v>
                </c:pt>
                <c:pt idx="35">
                  <c:v>0.74305555555555558</c:v>
                </c:pt>
                <c:pt idx="36">
                  <c:v>0.74652777777777779</c:v>
                </c:pt>
                <c:pt idx="37">
                  <c:v>0.79861111111111116</c:v>
                </c:pt>
                <c:pt idx="38">
                  <c:v>0.80208333333333337</c:v>
                </c:pt>
                <c:pt idx="39">
                  <c:v>0.80902777777777779</c:v>
                </c:pt>
                <c:pt idx="40">
                  <c:v>0.81597222222222221</c:v>
                </c:pt>
                <c:pt idx="41">
                  <c:v>0.81944444444444442</c:v>
                </c:pt>
                <c:pt idx="42">
                  <c:v>0.82291666666666663</c:v>
                </c:pt>
                <c:pt idx="43">
                  <c:v>0.82638888888888884</c:v>
                </c:pt>
                <c:pt idx="44">
                  <c:v>0.82986111111111116</c:v>
                </c:pt>
                <c:pt idx="45">
                  <c:v>0.83333333333333337</c:v>
                </c:pt>
                <c:pt idx="46">
                  <c:v>0.83680555555555558</c:v>
                </c:pt>
                <c:pt idx="47">
                  <c:v>0.84027777777777779</c:v>
                </c:pt>
                <c:pt idx="48">
                  <c:v>0.84375</c:v>
                </c:pt>
                <c:pt idx="49">
                  <c:v>0.84722222222222221</c:v>
                </c:pt>
                <c:pt idx="50">
                  <c:v>0.85069444444444442</c:v>
                </c:pt>
                <c:pt idx="51">
                  <c:v>0.85416666666666663</c:v>
                </c:pt>
                <c:pt idx="52">
                  <c:v>0.85763888888888884</c:v>
                </c:pt>
                <c:pt idx="53">
                  <c:v>0.86111111111111116</c:v>
                </c:pt>
                <c:pt idx="54">
                  <c:v>0.86458333333333337</c:v>
                </c:pt>
                <c:pt idx="55">
                  <c:v>0.86805555555555558</c:v>
                </c:pt>
                <c:pt idx="56">
                  <c:v>0.87152777777777779</c:v>
                </c:pt>
                <c:pt idx="57">
                  <c:v>0.875</c:v>
                </c:pt>
                <c:pt idx="58">
                  <c:v>0.87847222222222221</c:v>
                </c:pt>
                <c:pt idx="59">
                  <c:v>0.88541666666666663</c:v>
                </c:pt>
                <c:pt idx="60">
                  <c:v>0.89236111111111116</c:v>
                </c:pt>
                <c:pt idx="61">
                  <c:v>0.89583333333333337</c:v>
                </c:pt>
                <c:pt idx="62">
                  <c:v>0.89930555555555558</c:v>
                </c:pt>
                <c:pt idx="63">
                  <c:v>0.90277777777777779</c:v>
                </c:pt>
                <c:pt idx="64">
                  <c:v>0.90625</c:v>
                </c:pt>
                <c:pt idx="65">
                  <c:v>0.90972222222222221</c:v>
                </c:pt>
                <c:pt idx="66">
                  <c:v>0.91666666666666663</c:v>
                </c:pt>
                <c:pt idx="67">
                  <c:v>0.92013888888888884</c:v>
                </c:pt>
                <c:pt idx="68">
                  <c:v>0.92361111111111116</c:v>
                </c:pt>
                <c:pt idx="69">
                  <c:v>0.92708333333333337</c:v>
                </c:pt>
                <c:pt idx="70">
                  <c:v>0.93402777777777779</c:v>
                </c:pt>
                <c:pt idx="71">
                  <c:v>0.9375</c:v>
                </c:pt>
                <c:pt idx="72">
                  <c:v>0.94097222222222221</c:v>
                </c:pt>
              </c:numCache>
            </c:numRef>
          </c:xVal>
          <c:yVal>
            <c:numRef>
              <c:f>[2]hmF1!$F$21:$F$93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B-8741-B485-7E192735F88D}"/>
            </c:ext>
          </c:extLst>
        </c:ser>
        <c:ser>
          <c:idx val="2"/>
          <c:order val="2"/>
          <c:tx>
            <c:strRef>
              <c:f>[2]hmE!$F$20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[2]hmE!$C$21:$C$308</c:f>
              <c:numCache>
                <c:formatCode>General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[2]hmE!$F$21:$F$308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0B-8741-B485-7E192735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18</xdr:row>
      <xdr:rowOff>6350</xdr:rowOff>
    </xdr:from>
    <xdr:to>
      <xdr:col>14</xdr:col>
      <xdr:colOff>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223BC-59CD-2D20-E877-E5B11135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1C332-1866-524D-AF60-9EA8F02D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</xdr:colOff>
      <xdr:row>1</xdr:row>
      <xdr:rowOff>190500</xdr:rowOff>
    </xdr:from>
    <xdr:to>
      <xdr:col>21</xdr:col>
      <xdr:colOff>12700</xdr:colOff>
      <xdr:row>17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FE3EA7-AFA3-564B-B365-8939556FE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18</xdr:row>
      <xdr:rowOff>0</xdr:rowOff>
    </xdr:from>
    <xdr:to>
      <xdr:col>21</xdr:col>
      <xdr:colOff>38100</xdr:colOff>
      <xdr:row>33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37C30-2AE9-3E2B-A1EB-48CB5116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7000" y="3657600"/>
          <a:ext cx="5816600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0.03599</cdr:x>
      <cdr:y>0.77755</cdr:y>
    </cdr:from>
    <cdr:to>
      <cdr:x>0.94859</cdr:x>
      <cdr:y>0.92055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177800" y="2374901"/>
          <a:ext cx="4508501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 large and consistent return at 0.42 ms is believed to be from the E Layer.</a:t>
          </a:r>
          <a:r>
            <a:rPr lang="en-US" sz="1100" baseline="0"/>
            <a:t> The layer was so reflective so as to largely obscure access to the F2 Layer.</a:t>
          </a:r>
          <a:endParaRPr lang="en-US" sz="1100"/>
        </a:p>
      </cdr:txBody>
    </cdr:sp>
  </cdr:relSizeAnchor>
  <cdr:relSizeAnchor xmlns:cdr="http://schemas.openxmlformats.org/drawingml/2006/chartDrawing">
    <cdr:from>
      <cdr:x>0.01799</cdr:x>
      <cdr:y>0.16216</cdr:y>
    </cdr:from>
    <cdr:to>
      <cdr:x>1</cdr:x>
      <cdr:y>0.36155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88900" y="495300"/>
          <a:ext cx="4851400" cy="6090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</a:t>
          </a:r>
          <a:r>
            <a:rPr lang="en-US" sz="1100" baseline="0"/>
            <a:t> </a:t>
          </a:r>
          <a:r>
            <a:rPr lang="en-US" sz="1100"/>
            <a:t>TDOA values just under 2 ms have</a:t>
          </a:r>
          <a:r>
            <a:rPr lang="en-US" sz="1100" baseline="0"/>
            <a:t> </a:t>
          </a:r>
          <a:r>
            <a:rPr lang="en-US" sz="1100"/>
            <a:t> nearly the correct timing for predicted F2 TDOA. But this</a:t>
          </a:r>
          <a:r>
            <a:rPr lang="en-US" sz="1100" baseline="0"/>
            <a:t> data is believed to be from </a:t>
          </a:r>
          <a:r>
            <a:rPr lang="en-US" sz="1100"/>
            <a:t>4th and 5th  correlator</a:t>
          </a:r>
          <a:r>
            <a:rPr lang="en-US" sz="1100" baseline="0"/>
            <a:t> ringing</a:t>
          </a:r>
          <a:r>
            <a:rPr lang="en-US" sz="1100"/>
            <a:t> from the large E Layer</a:t>
          </a:r>
          <a:r>
            <a:rPr lang="en-US" sz="1100" baseline="0"/>
            <a:t> return at 0.42 ms with a few actual F2 layer points mixed in.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17</xdr:row>
      <xdr:rowOff>12700</xdr:rowOff>
    </xdr:from>
    <xdr:to>
      <xdr:col>18</xdr:col>
      <xdr:colOff>25400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BB926-D99C-9B43-B6BD-BB4F32BAB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18</xdr:col>
      <xdr:colOff>812800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BE9AE-223D-4A4E-ABE0-0FA69CDF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17</xdr:row>
      <xdr:rowOff>12700</xdr:rowOff>
    </xdr:from>
    <xdr:to>
      <xdr:col>12</xdr:col>
      <xdr:colOff>38100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12114A-BC9A-A038-AC7D-B51899386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207010</xdr:colOff>
      <xdr:row>25</xdr:row>
      <xdr:rowOff>149860</xdr:rowOff>
    </xdr:from>
    <xdr:ext cx="1047916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A7168E-3EB3-8536-FC6C-97E83946C13B}"/>
            </a:ext>
          </a:extLst>
        </xdr:cNvPr>
        <xdr:cNvSpPr txBox="1"/>
      </xdr:nvSpPr>
      <xdr:spPr>
        <a:xfrm>
          <a:off x="7065010" y="5150485"/>
          <a:ext cx="104791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1F2-1E formula</a:t>
          </a:r>
        </a:p>
        <a:p>
          <a:r>
            <a:rPr lang="en-US" sz="1100"/>
            <a:t>for low TDOAs</a:t>
          </a:r>
        </a:p>
      </xdr:txBody>
    </xdr:sp>
    <xdr:clientData/>
  </xdr:oneCellAnchor>
  <xdr:oneCellAnchor>
    <xdr:from>
      <xdr:col>6</xdr:col>
      <xdr:colOff>419100</xdr:colOff>
      <xdr:row>22</xdr:row>
      <xdr:rowOff>139700</xdr:rowOff>
    </xdr:from>
    <xdr:ext cx="1043812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000B8A-57D0-F981-10BE-BFADB8948A9F}"/>
            </a:ext>
          </a:extLst>
        </xdr:cNvPr>
        <xdr:cNvSpPr txBox="1"/>
      </xdr:nvSpPr>
      <xdr:spPr>
        <a:xfrm>
          <a:off x="5372100" y="4610100"/>
          <a:ext cx="1043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2F-1F formula</a:t>
          </a:r>
        </a:p>
        <a:p>
          <a:r>
            <a:rPr lang="en-US" sz="1100"/>
            <a:t>for high TDOAs</a:t>
          </a:r>
        </a:p>
      </xdr:txBody>
    </xdr:sp>
    <xdr:clientData/>
  </xdr:oneCellAnchor>
  <xdr:twoCellAnchor>
    <xdr:from>
      <xdr:col>6</xdr:col>
      <xdr:colOff>0</xdr:colOff>
      <xdr:row>35</xdr:row>
      <xdr:rowOff>0</xdr:rowOff>
    </xdr:from>
    <xdr:to>
      <xdr:col>12</xdr:col>
      <xdr:colOff>78740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FDF621-4E0E-4273-953C-60058C33A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121920</xdr:colOff>
      <xdr:row>35</xdr:row>
      <xdr:rowOff>0</xdr:rowOff>
    </xdr:from>
    <xdr:to>
      <xdr:col>19</xdr:col>
      <xdr:colOff>83820</xdr:colOff>
      <xdr:row>54</xdr:row>
      <xdr:rowOff>182880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CC87A6-630B-4F5D-9B8E-47794E0B6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24</xdr:col>
      <xdr:colOff>74930</xdr:colOff>
      <xdr:row>33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51AEA5-6DCC-4ABF-A909-EB90EEE7D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0.16667</cdr:x>
      <cdr:y>0.60833</cdr:y>
    </cdr:from>
    <cdr:to>
      <cdr:x>0.87949</cdr:x>
      <cdr:y>0.69513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825501" y="1854190"/>
          <a:ext cx="3530622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0.92826</cdr:x>
      <cdr:y>0.5752</cdr:y>
    </cdr:from>
    <cdr:to>
      <cdr:x>0.99453</cdr:x>
      <cdr:y>0.82222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847597" y="1840865"/>
          <a:ext cx="346067" cy="79057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0.93356</cdr:x>
      <cdr:y>0.47437</cdr:y>
    </cdr:from>
    <cdr:to>
      <cdr:x>0.98925</cdr:x>
      <cdr:y>0.86298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853940" y="1503715"/>
          <a:ext cx="289560" cy="12318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0.32848</cdr:x>
      <cdr:y>0.51232</cdr:y>
    </cdr:from>
    <cdr:to>
      <cdr:x>0.32848</cdr:x>
      <cdr:y>0.61779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707915" y="1624009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0.48498</cdr:y>
    </cdr:from>
    <cdr:to>
      <cdr:x>0.6066</cdr:x>
      <cdr:y>0.59045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153944" y="1537343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0.52494</cdr:y>
    </cdr:from>
    <cdr:to>
      <cdr:x>0.78173</cdr:x>
      <cdr:y>0.63041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064511" y="1664006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0.93356</cdr:x>
      <cdr:y>0.55189</cdr:y>
    </cdr:from>
    <cdr:to>
      <cdr:x>0.98925</cdr:x>
      <cdr:y>0.9405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5536851" y="2169985"/>
          <a:ext cx="330292" cy="1527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0.32334</cdr:x>
      <cdr:y>0.50194</cdr:y>
    </cdr:from>
    <cdr:to>
      <cdr:x>0.32505</cdr:x>
      <cdr:y>0.6488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 flipH="1">
          <a:off x="1917702" y="1973580"/>
          <a:ext cx="10158" cy="57744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0.61028</cdr:x>
      <cdr:y>0.46318</cdr:y>
    </cdr:from>
    <cdr:to>
      <cdr:x>0.61045</cdr:x>
      <cdr:y>0.60208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619500" y="1821180"/>
          <a:ext cx="1044" cy="5461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0.77602</cdr:x>
      <cdr:y>0.50581</cdr:y>
    </cdr:from>
    <cdr:to>
      <cdr:x>0.77659</cdr:x>
      <cdr:y>0.64398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602480" y="1988820"/>
          <a:ext cx="3402" cy="5432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0.86393</cdr:x>
      <cdr:y>0.85328</cdr:y>
    </cdr:from>
    <cdr:to>
      <cdr:x>0.92298</cdr:x>
      <cdr:y>0.91892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2AC350B5-3748-0607-7F07-53A0DA96FE93}"/>
            </a:ext>
          </a:extLst>
        </cdr:cNvPr>
        <cdr:cNvSpPr txBox="1"/>
      </cdr:nvSpPr>
      <cdr:spPr>
        <a:xfrm xmlns:a="http://schemas.openxmlformats.org/drawingml/2006/main">
          <a:off x="5128260" y="3368040"/>
          <a:ext cx="35052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UTC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0.92826</cdr:x>
      <cdr:y>0.47437</cdr:y>
    </cdr:from>
    <cdr:to>
      <cdr:x>0.99746</cdr:x>
      <cdr:y>0.79381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44820" y="1542266"/>
          <a:ext cx="346280" cy="10385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14</xdr:col>
      <xdr:colOff>76200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BC4EB-830D-C445-BBC0-5D4902FD1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622300</xdr:colOff>
      <xdr:row>11</xdr:row>
      <xdr:rowOff>12700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588ADC-604D-7E40-83EE-54BD44FD02A3}"/>
            </a:ext>
          </a:extLst>
        </xdr:cNvPr>
        <xdr:cNvSpPr txBox="1"/>
      </xdr:nvSpPr>
      <xdr:spPr>
        <a:xfrm>
          <a:off x="80518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20</xdr:col>
      <xdr:colOff>152400</xdr:colOff>
      <xdr:row>1</xdr:row>
      <xdr:rowOff>12700</xdr:rowOff>
    </xdr:from>
    <xdr:to>
      <xdr:col>26</xdr:col>
      <xdr:colOff>127000</xdr:colOff>
      <xdr:row>16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0E8263-ACF4-A94C-AB8F-3A6EF4B8E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139700</xdr:colOff>
      <xdr:row>1</xdr:row>
      <xdr:rowOff>25400</xdr:rowOff>
    </xdr:from>
    <xdr:to>
      <xdr:col>20</xdr:col>
      <xdr:colOff>114300</xdr:colOff>
      <xdr:row>17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F73375-6B50-A44F-B9D0-D3DE4B677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18</xdr:row>
      <xdr:rowOff>93980</xdr:rowOff>
    </xdr:from>
    <xdr:to>
      <xdr:col>17</xdr:col>
      <xdr:colOff>281940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12C75-64F8-A74B-9974-63683B089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403860</xdr:colOff>
      <xdr:row>18</xdr:row>
      <xdr:rowOff>99060</xdr:rowOff>
    </xdr:from>
    <xdr:to>
      <xdr:col>26</xdr:col>
      <xdr:colOff>444500</xdr:colOff>
      <xdr:row>39</xdr:row>
      <xdr:rowOff>119380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BAB727-2B5A-4D0A-8E7D-2DD457B78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28575</xdr:colOff>
      <xdr:row>19</xdr:row>
      <xdr:rowOff>0</xdr:rowOff>
    </xdr:from>
    <xdr:to>
      <xdr:col>36</xdr:col>
      <xdr:colOff>69215</xdr:colOff>
      <xdr:row>40</xdr:row>
      <xdr:rowOff>22225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5820F7-1C50-49BA-AAE0-EBCF23D3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583882</xdr:colOff>
      <xdr:row>26</xdr:row>
      <xdr:rowOff>112396</xdr:rowOff>
    </xdr:from>
    <xdr:to>
      <xdr:col>30</xdr:col>
      <xdr:colOff>417195</xdr:colOff>
      <xdr:row>29</xdr:row>
      <xdr:rowOff>100965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2D8EA04-5404-BAA0-DD33-F1CD2D95945D}"/>
            </a:ext>
          </a:extLst>
        </xdr:cNvPr>
        <xdr:cNvSpPr txBox="1"/>
      </xdr:nvSpPr>
      <xdr:spPr>
        <a:xfrm>
          <a:off x="24586882" y="5313046"/>
          <a:ext cx="1547813" cy="58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Austin Ionosonde hmF2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0.9308</cdr:x>
      <cdr:y>0.51734</cdr:y>
    </cdr:from>
    <cdr:to>
      <cdr:x>1</cdr:x>
      <cdr:y>0.83678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57527" y="1681972"/>
          <a:ext cx="346263" cy="10385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0.05838</cdr:x>
      <cdr:y>0.33203</cdr:y>
    </cdr:from>
    <cdr:to>
      <cdr:x>0.24873</cdr:x>
      <cdr:y>0.47266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2100" y="1079500"/>
          <a:ext cx="95250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1F-2F Formula</a:t>
          </a:r>
        </a:p>
        <a:p xmlns:a="http://schemas.openxmlformats.org/drawingml/2006/main">
          <a:r>
            <a:rPr lang="en-US" sz="1100"/>
            <a:t>for high TDOAs</a:t>
          </a:r>
        </a:p>
      </cdr:txBody>
    </cdr:sp>
  </cdr:relSizeAnchor>
  <cdr:relSizeAnchor xmlns:cdr="http://schemas.openxmlformats.org/drawingml/2006/chartDrawing">
    <cdr:from>
      <cdr:x>0.3731</cdr:x>
      <cdr:y>0.46875</cdr:y>
    </cdr:from>
    <cdr:to>
      <cdr:x>0.5533</cdr:x>
      <cdr:y>0.61328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1866900" y="1524000"/>
          <a:ext cx="90170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1E-1F Formula</a:t>
          </a:r>
        </a:p>
        <a:p xmlns:a="http://schemas.openxmlformats.org/drawingml/2006/main">
          <a:r>
            <a:rPr lang="en-US" sz="1100"/>
            <a:t>for low TDOAs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0.2381</cdr:x>
      <cdr:y>0.87384</cdr:y>
    </cdr:from>
    <cdr:to>
      <cdr:x>0.7759</cdr:x>
      <cdr:y>0.87682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751FD03C-0BDE-C1CA-F592-EE0B68094B4A}"/>
            </a:ext>
          </a:extLst>
        </cdr:cNvPr>
        <cdr:cNvCxnSpPr/>
      </cdr:nvCxnSpPr>
      <cdr:spPr>
        <a:xfrm xmlns:a="http://schemas.openxmlformats.org/drawingml/2006/main" flipV="1">
          <a:off x="1838489" y="3653396"/>
          <a:ext cx="4152676" cy="1245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0.23711</cdr:x>
      <cdr:y>0.97917</cdr:y>
    </cdr:from>
    <cdr:to>
      <cdr:x>0.77491</cdr:x>
      <cdr:y>0.98214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E2E1AAE5-B26E-88B2-2365-777A20134300}"/>
            </a:ext>
          </a:extLst>
        </cdr:cNvPr>
        <cdr:cNvCxnSpPr/>
      </cdr:nvCxnSpPr>
      <cdr:spPr>
        <a:xfrm xmlns:a="http://schemas.openxmlformats.org/drawingml/2006/main" flipV="1">
          <a:off x="1752600" y="4178300"/>
          <a:ext cx="3975100" cy="12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2">
              <a:lumMod val="75000"/>
              <a:lumOff val="25000"/>
            </a:schemeClr>
          </a:solidFill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0.41409</cdr:x>
      <cdr:y>0.87798</cdr:y>
    </cdr:from>
    <cdr:to>
      <cdr:x>0.41409</cdr:x>
      <cdr:y>0.98214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F897BB65-AE3B-24FF-EEE9-FED2D8173A86}"/>
            </a:ext>
          </a:extLst>
        </cdr:cNvPr>
        <cdr:cNvCxnSpPr/>
      </cdr:nvCxnSpPr>
      <cdr:spPr>
        <a:xfrm xmlns:a="http://schemas.openxmlformats.org/drawingml/2006/main">
          <a:off x="3060700" y="37465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0.58247</cdr:x>
      <cdr:y>0.87202</cdr:y>
    </cdr:from>
    <cdr:to>
      <cdr:x>0.58247</cdr:x>
      <cdr:y>0.97619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754CC3A1-BC87-08D0-035C-09690AF09684}"/>
            </a:ext>
          </a:extLst>
        </cdr:cNvPr>
        <cdr:cNvCxnSpPr/>
      </cdr:nvCxnSpPr>
      <cdr:spPr>
        <a:xfrm xmlns:a="http://schemas.openxmlformats.org/drawingml/2006/main">
          <a:off x="43053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0.77491</cdr:x>
      <cdr:y>0.87202</cdr:y>
    </cdr:from>
    <cdr:to>
      <cdr:x>0.77491</cdr:x>
      <cdr:y>0.97619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57277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0.23883</cdr:x>
      <cdr:y>0.875</cdr:y>
    </cdr:from>
    <cdr:to>
      <cdr:x>0.23883</cdr:x>
      <cdr:y>0.97917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1765300" y="37338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0.95858</cdr:x>
      <cdr:y>0.62932</cdr:y>
    </cdr:from>
    <cdr:to>
      <cdr:x>0.98862</cdr:x>
      <cdr:y>0.87744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434641" y="2657474"/>
          <a:ext cx="232983" cy="104775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0.46454</cdr:x>
      <cdr:y>0.21029</cdr:y>
    </cdr:from>
    <cdr:to>
      <cdr:x>0.46454</cdr:x>
      <cdr:y>0.39255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602888" y="887989"/>
          <a:ext cx="0" cy="769638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0.85495</cdr:x>
      <cdr:y>0.30327</cdr:y>
    </cdr:from>
    <cdr:to>
      <cdr:x>0.85495</cdr:x>
      <cdr:y>0.41637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630935" y="1280626"/>
          <a:ext cx="0" cy="477593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0.85446</cdr:x>
      <cdr:y>0.49085</cdr:y>
    </cdr:from>
    <cdr:to>
      <cdr:x>0.85446</cdr:x>
      <cdr:y>0.63073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627087" y="2072732"/>
          <a:ext cx="0" cy="590679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0.68411</cdr:x>
      <cdr:y>0.53152</cdr:y>
    </cdr:from>
    <cdr:to>
      <cdr:x>0.68411</cdr:x>
      <cdr:y>0.6714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305890" y="2244459"/>
          <a:ext cx="0" cy="590678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0.48233</cdr:x>
      <cdr:y>0.4978</cdr:y>
    </cdr:from>
    <cdr:to>
      <cdr:x>0.48233</cdr:x>
      <cdr:y>0.61387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740895" y="2102094"/>
          <a:ext cx="0" cy="490134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0.472</cdr:x>
      <cdr:y>0.72857</cdr:y>
    </cdr:from>
    <cdr:to>
      <cdr:x>0.85721</cdr:x>
      <cdr:y>0.84812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A1B2DB4-4F84-E991-CC54-EFAC50DADE67}"/>
            </a:ext>
          </a:extLst>
        </cdr:cNvPr>
        <cdr:cNvSpPr txBox="1"/>
      </cdr:nvSpPr>
      <cdr:spPr>
        <a:xfrm xmlns:a="http://schemas.openxmlformats.org/drawingml/2006/main">
          <a:off x="3660774" y="3076576"/>
          <a:ext cx="2987675" cy="504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1F2-1E Formula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effectLst/>
              <a:latin typeface="+mn-lt"/>
              <a:ea typeface="+mn-ea"/>
              <a:cs typeface="+mn-cs"/>
            </a:rPr>
            <a:t>Corrects Calculated 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Virtual Height for Low TDOA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Outliers</a:t>
          </a:r>
          <a:endParaRPr lang="en-US" sz="1400">
            <a:effectLst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0.47937</cdr:x>
      <cdr:y>0.17218</cdr:y>
    </cdr:from>
    <cdr:to>
      <cdr:x>0.87441</cdr:x>
      <cdr:y>0.29098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04F1BF0B-4466-10EA-C4BA-669040DCA35D}"/>
            </a:ext>
          </a:extLst>
        </cdr:cNvPr>
        <cdr:cNvSpPr txBox="1"/>
      </cdr:nvSpPr>
      <cdr:spPr>
        <a:xfrm xmlns:a="http://schemas.openxmlformats.org/drawingml/2006/main">
          <a:off x="3717925" y="726411"/>
          <a:ext cx="3063875" cy="50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2F2-1E Formula Corrects Calculated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Virtual Height for High TDOA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Outliers </a:t>
          </a:r>
          <a:endParaRPr lang="en-US" sz="1400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50800</xdr:rowOff>
    </xdr:from>
    <xdr:to>
      <xdr:col>12</xdr:col>
      <xdr:colOff>469900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6C75E-50B8-C444-8FE8-50DB965D2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15</xdr:row>
      <xdr:rowOff>12700</xdr:rowOff>
    </xdr:from>
    <xdr:to>
      <xdr:col>13</xdr:col>
      <xdr:colOff>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2DB38-9189-F146-A27D-B6AE1FA7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0408%20EclipseDay%20Ionosonde%20Data\Austin%20240408%20DThemens%20-%20AB5YO%20TDOA.xlsx" TargetMode="External"/><Relationship Id="rId1" Type="http://schemas.openxmlformats.org/officeDocument/2006/relationships/externalLinkPath" Target="/Users/stevecerwin/Desktop/20240408%20EclipseDay%20Ionosonde%20Data/Austin%20240408%20DThemens%20-%20AB5YO%20TDO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%20Eclipse%20Results\20240408%20EclipseDay%20Ionosonde%20Data\Austin%20hmX%2020240408.xlsx" TargetMode="External"/><Relationship Id="rId1" Type="http://schemas.openxmlformats.org/officeDocument/2006/relationships/externalLinkPath" Target="/Users/STEVE/Desktop/2024%20Eclipse%20Results/20240408%20EclipseDay%20Ionosonde%20Data/Austin%20hm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arts"/>
    </sheetNames>
    <sheetDataSet>
      <sheetData sheetId="0">
        <row r="3">
          <cell r="C3">
            <v>5.7870370370370373E-5</v>
          </cell>
          <cell r="H3">
            <v>286.5</v>
          </cell>
          <cell r="N3">
            <v>257</v>
          </cell>
        </row>
        <row r="4">
          <cell r="H4">
            <v>296.10000000000002</v>
          </cell>
          <cell r="N4">
            <v>252</v>
          </cell>
        </row>
        <row r="5">
          <cell r="H5">
            <v>282.89999999999998</v>
          </cell>
          <cell r="N5">
            <v>269</v>
          </cell>
        </row>
        <row r="6">
          <cell r="H6">
            <v>286.60000000000002</v>
          </cell>
          <cell r="N6">
            <v>276</v>
          </cell>
        </row>
        <row r="7">
          <cell r="H7">
            <v>286.7</v>
          </cell>
          <cell r="N7">
            <v>280</v>
          </cell>
        </row>
        <row r="8">
          <cell r="H8">
            <v>281.89999999999998</v>
          </cell>
          <cell r="N8">
            <v>280</v>
          </cell>
        </row>
        <row r="9">
          <cell r="H9">
            <v>281.3</v>
          </cell>
          <cell r="N9">
            <v>291</v>
          </cell>
        </row>
        <row r="10">
          <cell r="H10">
            <v>276.8</v>
          </cell>
          <cell r="N10">
            <v>285</v>
          </cell>
        </row>
        <row r="11">
          <cell r="H11">
            <v>281.39999999999998</v>
          </cell>
          <cell r="N11">
            <v>282</v>
          </cell>
        </row>
        <row r="12">
          <cell r="H12">
            <v>284.3</v>
          </cell>
          <cell r="N12">
            <v>306</v>
          </cell>
        </row>
        <row r="13">
          <cell r="H13">
            <v>277.10000000000002</v>
          </cell>
          <cell r="N13">
            <v>306</v>
          </cell>
        </row>
        <row r="14">
          <cell r="H14">
            <v>278.39999999999998</v>
          </cell>
          <cell r="N14">
            <v>306</v>
          </cell>
        </row>
        <row r="15">
          <cell r="H15">
            <v>282.7</v>
          </cell>
          <cell r="N15">
            <v>313</v>
          </cell>
        </row>
        <row r="16">
          <cell r="H16">
            <v>282.5</v>
          </cell>
          <cell r="N16">
            <v>313</v>
          </cell>
        </row>
        <row r="17">
          <cell r="H17">
            <v>274.2</v>
          </cell>
          <cell r="N17">
            <v>303</v>
          </cell>
        </row>
        <row r="18">
          <cell r="H18">
            <v>274.10000000000002</v>
          </cell>
          <cell r="N18">
            <v>291</v>
          </cell>
        </row>
        <row r="19">
          <cell r="H19">
            <v>277.8</v>
          </cell>
          <cell r="N19">
            <v>287</v>
          </cell>
        </row>
        <row r="20">
          <cell r="H20">
            <v>281.10000000000002</v>
          </cell>
          <cell r="N20">
            <v>296</v>
          </cell>
        </row>
        <row r="21">
          <cell r="H21">
            <v>282.5</v>
          </cell>
          <cell r="N21">
            <v>296</v>
          </cell>
        </row>
        <row r="22">
          <cell r="H22">
            <v>284</v>
          </cell>
          <cell r="N22">
            <v>273</v>
          </cell>
        </row>
        <row r="23">
          <cell r="H23">
            <v>277.7</v>
          </cell>
          <cell r="N23">
            <v>287</v>
          </cell>
        </row>
        <row r="24">
          <cell r="H24">
            <v>281</v>
          </cell>
          <cell r="N24">
            <v>287</v>
          </cell>
        </row>
        <row r="25">
          <cell r="H25">
            <v>281.2</v>
          </cell>
          <cell r="N25">
            <v>286</v>
          </cell>
        </row>
        <row r="26">
          <cell r="H26">
            <v>278.2</v>
          </cell>
          <cell r="N26">
            <v>293</v>
          </cell>
        </row>
        <row r="27">
          <cell r="H27">
            <v>276.3</v>
          </cell>
          <cell r="N27">
            <v>278</v>
          </cell>
        </row>
        <row r="28">
          <cell r="H28">
            <v>279.2</v>
          </cell>
          <cell r="N28">
            <v>284</v>
          </cell>
        </row>
        <row r="29">
          <cell r="H29">
            <v>284.10000000000002</v>
          </cell>
          <cell r="N29">
            <v>276</v>
          </cell>
        </row>
        <row r="30">
          <cell r="H30">
            <v>279</v>
          </cell>
          <cell r="N30">
            <v>276</v>
          </cell>
        </row>
        <row r="31">
          <cell r="H31">
            <v>280.60000000000002</v>
          </cell>
          <cell r="N31">
            <v>268</v>
          </cell>
        </row>
        <row r="32">
          <cell r="H32">
            <v>278</v>
          </cell>
          <cell r="N32">
            <v>290</v>
          </cell>
        </row>
        <row r="33">
          <cell r="H33">
            <v>281.8</v>
          </cell>
          <cell r="N33">
            <v>295</v>
          </cell>
        </row>
        <row r="34">
          <cell r="H34">
            <v>287</v>
          </cell>
          <cell r="N34">
            <v>297</v>
          </cell>
        </row>
        <row r="35">
          <cell r="H35">
            <v>296.89999999999998</v>
          </cell>
          <cell r="N35">
            <v>300</v>
          </cell>
        </row>
        <row r="36">
          <cell r="H36">
            <v>301.8</v>
          </cell>
          <cell r="N36">
            <v>304</v>
          </cell>
        </row>
        <row r="37">
          <cell r="H37">
            <v>305.60000000000002</v>
          </cell>
          <cell r="N37">
            <v>300</v>
          </cell>
        </row>
        <row r="38">
          <cell r="H38">
            <v>300</v>
          </cell>
          <cell r="N38">
            <v>300</v>
          </cell>
        </row>
        <row r="39">
          <cell r="H39">
            <v>311.2</v>
          </cell>
          <cell r="N39">
            <v>300</v>
          </cell>
        </row>
        <row r="40">
          <cell r="H40">
            <v>314</v>
          </cell>
          <cell r="N40">
            <v>302</v>
          </cell>
        </row>
        <row r="41">
          <cell r="H41">
            <v>323</v>
          </cell>
          <cell r="N41">
            <v>302</v>
          </cell>
        </row>
        <row r="42">
          <cell r="H42">
            <v>317.2</v>
          </cell>
          <cell r="N42">
            <v>300</v>
          </cell>
        </row>
        <row r="43">
          <cell r="H43">
            <v>317.60000000000002</v>
          </cell>
          <cell r="N43">
            <v>303</v>
          </cell>
        </row>
        <row r="44">
          <cell r="H44">
            <v>311.60000000000002</v>
          </cell>
          <cell r="N44">
            <v>297</v>
          </cell>
        </row>
        <row r="45">
          <cell r="H45">
            <v>337.2</v>
          </cell>
          <cell r="N45">
            <v>294</v>
          </cell>
        </row>
        <row r="46">
          <cell r="H46">
            <v>354.5</v>
          </cell>
          <cell r="N46">
            <v>292</v>
          </cell>
        </row>
        <row r="47">
          <cell r="H47">
            <v>361.3</v>
          </cell>
          <cell r="N47">
            <v>293</v>
          </cell>
        </row>
        <row r="48">
          <cell r="H48">
            <v>352.7</v>
          </cell>
          <cell r="N48">
            <v>293</v>
          </cell>
        </row>
        <row r="49">
          <cell r="H49">
            <v>345.2</v>
          </cell>
          <cell r="N49">
            <v>276</v>
          </cell>
        </row>
        <row r="50">
          <cell r="H50">
            <v>343.4</v>
          </cell>
        </row>
        <row r="51">
          <cell r="H51">
            <v>353.8</v>
          </cell>
        </row>
        <row r="52">
          <cell r="H52">
            <v>347</v>
          </cell>
        </row>
        <row r="53">
          <cell r="H53">
            <v>348.8</v>
          </cell>
        </row>
        <row r="54">
          <cell r="H54">
            <v>347.4</v>
          </cell>
        </row>
        <row r="55">
          <cell r="H55">
            <v>349.4</v>
          </cell>
        </row>
        <row r="56">
          <cell r="H56">
            <v>349</v>
          </cell>
        </row>
        <row r="57">
          <cell r="H57">
            <v>353.2</v>
          </cell>
        </row>
        <row r="58">
          <cell r="H58">
            <v>350.9</v>
          </cell>
        </row>
        <row r="59">
          <cell r="H59">
            <v>348.6</v>
          </cell>
        </row>
        <row r="60">
          <cell r="H60">
            <v>348.3</v>
          </cell>
        </row>
        <row r="61">
          <cell r="H61">
            <v>348</v>
          </cell>
        </row>
        <row r="62">
          <cell r="H62">
            <v>351.3</v>
          </cell>
        </row>
        <row r="63">
          <cell r="H63">
            <v>354.9</v>
          </cell>
        </row>
        <row r="64">
          <cell r="H64">
            <v>350.1</v>
          </cell>
        </row>
        <row r="65">
          <cell r="H65">
            <v>350.6</v>
          </cell>
        </row>
        <row r="66">
          <cell r="H66">
            <v>357.4</v>
          </cell>
        </row>
        <row r="67">
          <cell r="H67">
            <v>353.9</v>
          </cell>
        </row>
        <row r="68">
          <cell r="H68">
            <v>342.9</v>
          </cell>
        </row>
        <row r="69">
          <cell r="H69">
            <v>344.6</v>
          </cell>
        </row>
        <row r="70">
          <cell r="H70">
            <v>353.1</v>
          </cell>
        </row>
        <row r="71">
          <cell r="H71">
            <v>348.9</v>
          </cell>
        </row>
        <row r="72">
          <cell r="H72">
            <v>345.4</v>
          </cell>
        </row>
        <row r="73">
          <cell r="H73">
            <v>344.9</v>
          </cell>
        </row>
        <row r="74">
          <cell r="H74">
            <v>339.1</v>
          </cell>
        </row>
        <row r="75">
          <cell r="H75">
            <v>329.6</v>
          </cell>
        </row>
        <row r="76">
          <cell r="H76">
            <v>346.1</v>
          </cell>
        </row>
        <row r="77">
          <cell r="H77">
            <v>343</v>
          </cell>
        </row>
        <row r="78">
          <cell r="H78">
            <v>342.6</v>
          </cell>
        </row>
        <row r="79">
          <cell r="H79">
            <v>344.7</v>
          </cell>
        </row>
        <row r="80">
          <cell r="H80">
            <v>355.4</v>
          </cell>
        </row>
        <row r="81">
          <cell r="H81">
            <v>354.2</v>
          </cell>
        </row>
        <row r="82">
          <cell r="H82">
            <v>357.1</v>
          </cell>
        </row>
        <row r="83">
          <cell r="H83">
            <v>352.9</v>
          </cell>
        </row>
        <row r="84">
          <cell r="H84">
            <v>360.8</v>
          </cell>
        </row>
        <row r="85">
          <cell r="H85">
            <v>360.4</v>
          </cell>
        </row>
        <row r="86">
          <cell r="H86">
            <v>371.6</v>
          </cell>
        </row>
        <row r="87">
          <cell r="H87">
            <v>371.2</v>
          </cell>
        </row>
        <row r="88">
          <cell r="H88">
            <v>369.4</v>
          </cell>
        </row>
        <row r="89">
          <cell r="H89">
            <v>365.7</v>
          </cell>
        </row>
        <row r="90">
          <cell r="H90">
            <v>373.7</v>
          </cell>
        </row>
        <row r="91">
          <cell r="H91">
            <v>372.6</v>
          </cell>
        </row>
        <row r="92">
          <cell r="H92">
            <v>374.2</v>
          </cell>
        </row>
        <row r="93">
          <cell r="H93">
            <v>381.5</v>
          </cell>
        </row>
        <row r="94">
          <cell r="H94">
            <v>383.7</v>
          </cell>
        </row>
        <row r="95">
          <cell r="H95">
            <v>378.1</v>
          </cell>
        </row>
        <row r="96">
          <cell r="H96">
            <v>377</v>
          </cell>
        </row>
        <row r="97">
          <cell r="H97">
            <v>373</v>
          </cell>
        </row>
        <row r="98">
          <cell r="H98">
            <v>371.7</v>
          </cell>
        </row>
        <row r="99">
          <cell r="H99">
            <v>361.9</v>
          </cell>
        </row>
        <row r="100">
          <cell r="H100">
            <v>363.8</v>
          </cell>
        </row>
        <row r="101">
          <cell r="H101">
            <v>367.3</v>
          </cell>
        </row>
        <row r="102">
          <cell r="H102">
            <v>367.7</v>
          </cell>
        </row>
        <row r="103">
          <cell r="H103">
            <v>366.9</v>
          </cell>
        </row>
        <row r="104">
          <cell r="H104">
            <v>358.2</v>
          </cell>
        </row>
        <row r="105">
          <cell r="H105">
            <v>368.7</v>
          </cell>
        </row>
        <row r="106">
          <cell r="H106">
            <v>371.2</v>
          </cell>
        </row>
        <row r="107">
          <cell r="H107">
            <v>356.6</v>
          </cell>
        </row>
        <row r="108">
          <cell r="H108">
            <v>366.8</v>
          </cell>
        </row>
        <row r="109">
          <cell r="H109">
            <v>356.9</v>
          </cell>
        </row>
        <row r="110">
          <cell r="H110">
            <v>368.4</v>
          </cell>
        </row>
        <row r="111">
          <cell r="H111">
            <v>370.2</v>
          </cell>
        </row>
        <row r="112">
          <cell r="H112">
            <v>361.3</v>
          </cell>
        </row>
        <row r="113">
          <cell r="H113">
            <v>351.8</v>
          </cell>
        </row>
        <row r="114">
          <cell r="H114">
            <v>361.7</v>
          </cell>
        </row>
        <row r="115">
          <cell r="H115">
            <v>352.9</v>
          </cell>
        </row>
        <row r="116">
          <cell r="H116">
            <v>346.7</v>
          </cell>
        </row>
        <row r="117">
          <cell r="H117">
            <v>354.1</v>
          </cell>
        </row>
        <row r="118">
          <cell r="H118">
            <v>352.4</v>
          </cell>
        </row>
        <row r="119">
          <cell r="H119">
            <v>352</v>
          </cell>
        </row>
        <row r="120">
          <cell r="H120">
            <v>339.1</v>
          </cell>
        </row>
        <row r="121">
          <cell r="H121">
            <v>351.7</v>
          </cell>
        </row>
        <row r="122">
          <cell r="H122">
            <v>339.1</v>
          </cell>
        </row>
        <row r="123">
          <cell r="H123">
            <v>350</v>
          </cell>
        </row>
        <row r="124">
          <cell r="H124">
            <v>342.3</v>
          </cell>
        </row>
        <row r="125">
          <cell r="H125">
            <v>342.9</v>
          </cell>
        </row>
        <row r="126">
          <cell r="H126">
            <v>352.7</v>
          </cell>
        </row>
        <row r="127">
          <cell r="H127">
            <v>339.8</v>
          </cell>
        </row>
        <row r="128">
          <cell r="H128">
            <v>345.2</v>
          </cell>
        </row>
        <row r="129">
          <cell r="H129">
            <v>339.5</v>
          </cell>
        </row>
        <row r="130">
          <cell r="H130">
            <v>343.5</v>
          </cell>
        </row>
        <row r="131">
          <cell r="H131">
            <v>339.5</v>
          </cell>
        </row>
        <row r="132">
          <cell r="H132">
            <v>339.4</v>
          </cell>
        </row>
        <row r="133">
          <cell r="H133">
            <v>336.4</v>
          </cell>
        </row>
        <row r="134">
          <cell r="H134">
            <v>334.4</v>
          </cell>
        </row>
        <row r="135">
          <cell r="H135">
            <v>334</v>
          </cell>
        </row>
        <row r="136">
          <cell r="H136">
            <v>325</v>
          </cell>
        </row>
        <row r="137">
          <cell r="H137">
            <v>329.6</v>
          </cell>
        </row>
        <row r="138">
          <cell r="H138">
            <v>331.3</v>
          </cell>
        </row>
        <row r="139">
          <cell r="H139">
            <v>320.8</v>
          </cell>
        </row>
        <row r="140">
          <cell r="H140">
            <v>323</v>
          </cell>
        </row>
        <row r="141">
          <cell r="H141">
            <v>320.7</v>
          </cell>
        </row>
        <row r="142">
          <cell r="H142">
            <v>324.7</v>
          </cell>
        </row>
        <row r="143">
          <cell r="H143">
            <v>313.60000000000002</v>
          </cell>
        </row>
        <row r="144">
          <cell r="H144">
            <v>309.5</v>
          </cell>
        </row>
        <row r="145">
          <cell r="H145">
            <v>309.5</v>
          </cell>
        </row>
        <row r="146">
          <cell r="H146">
            <v>302.39999999999998</v>
          </cell>
        </row>
        <row r="147">
          <cell r="H147">
            <v>304.5</v>
          </cell>
        </row>
        <row r="148">
          <cell r="H148">
            <v>295.60000000000002</v>
          </cell>
        </row>
        <row r="149">
          <cell r="H149">
            <v>288.10000000000002</v>
          </cell>
        </row>
        <row r="150">
          <cell r="H150">
            <v>287.5</v>
          </cell>
        </row>
        <row r="151">
          <cell r="H151">
            <v>280.10000000000002</v>
          </cell>
        </row>
        <row r="152">
          <cell r="H152">
            <v>276.7</v>
          </cell>
        </row>
        <row r="153">
          <cell r="H153">
            <v>272.7</v>
          </cell>
        </row>
        <row r="154">
          <cell r="H154">
            <v>272.8</v>
          </cell>
        </row>
        <row r="155">
          <cell r="H155">
            <v>258.7</v>
          </cell>
        </row>
        <row r="156">
          <cell r="H156">
            <v>260.89999999999998</v>
          </cell>
        </row>
        <row r="157">
          <cell r="H157">
            <v>265.3</v>
          </cell>
        </row>
        <row r="158">
          <cell r="H158">
            <v>271.10000000000002</v>
          </cell>
        </row>
        <row r="159">
          <cell r="H159">
            <v>269</v>
          </cell>
        </row>
        <row r="160">
          <cell r="H160">
            <v>264.5</v>
          </cell>
        </row>
        <row r="161">
          <cell r="H161">
            <v>262.39999999999998</v>
          </cell>
        </row>
        <row r="162">
          <cell r="H162">
            <v>267</v>
          </cell>
        </row>
        <row r="163">
          <cell r="H163">
            <v>270</v>
          </cell>
        </row>
        <row r="164">
          <cell r="H164">
            <v>260.10000000000002</v>
          </cell>
        </row>
        <row r="165">
          <cell r="H165">
            <v>251.6</v>
          </cell>
        </row>
        <row r="166">
          <cell r="H166">
            <v>258.2</v>
          </cell>
        </row>
        <row r="167">
          <cell r="H167">
            <v>255.6</v>
          </cell>
        </row>
        <row r="168">
          <cell r="H168">
            <v>243.6</v>
          </cell>
        </row>
        <row r="169">
          <cell r="H169">
            <v>250.6</v>
          </cell>
        </row>
        <row r="170">
          <cell r="H170">
            <v>264.3</v>
          </cell>
        </row>
        <row r="171">
          <cell r="H171">
            <v>263</v>
          </cell>
        </row>
        <row r="172">
          <cell r="H172">
            <v>258.2</v>
          </cell>
        </row>
        <row r="173">
          <cell r="H173">
            <v>253.2</v>
          </cell>
        </row>
        <row r="174">
          <cell r="H174">
            <v>246.7</v>
          </cell>
        </row>
        <row r="175">
          <cell r="H175">
            <v>249.7</v>
          </cell>
        </row>
        <row r="176">
          <cell r="H176">
            <v>254.8</v>
          </cell>
        </row>
        <row r="177">
          <cell r="H177">
            <v>249.8</v>
          </cell>
        </row>
        <row r="178">
          <cell r="H178">
            <v>253</v>
          </cell>
        </row>
        <row r="179">
          <cell r="H179">
            <v>252</v>
          </cell>
        </row>
        <row r="180">
          <cell r="H180">
            <v>265.7</v>
          </cell>
        </row>
        <row r="181">
          <cell r="H181">
            <v>275.60000000000002</v>
          </cell>
        </row>
        <row r="182">
          <cell r="H182">
            <v>279.7</v>
          </cell>
        </row>
        <row r="183">
          <cell r="H183">
            <v>275.5</v>
          </cell>
        </row>
        <row r="184">
          <cell r="H184">
            <v>277.7</v>
          </cell>
        </row>
        <row r="185">
          <cell r="H185">
            <v>279.2</v>
          </cell>
        </row>
        <row r="186">
          <cell r="H186">
            <v>270.8</v>
          </cell>
        </row>
        <row r="187">
          <cell r="H187">
            <v>263.5</v>
          </cell>
        </row>
        <row r="188">
          <cell r="H188">
            <v>265.8</v>
          </cell>
        </row>
        <row r="189">
          <cell r="H189">
            <v>283.60000000000002</v>
          </cell>
        </row>
        <row r="190">
          <cell r="H190">
            <v>286</v>
          </cell>
        </row>
        <row r="191">
          <cell r="H191">
            <v>298.10000000000002</v>
          </cell>
        </row>
        <row r="192">
          <cell r="H192">
            <v>295.5</v>
          </cell>
        </row>
        <row r="193">
          <cell r="H193">
            <v>297.2</v>
          </cell>
        </row>
        <row r="194">
          <cell r="H194">
            <v>292.7</v>
          </cell>
        </row>
        <row r="195">
          <cell r="H195">
            <v>295.60000000000002</v>
          </cell>
        </row>
        <row r="196">
          <cell r="H196">
            <v>299.7</v>
          </cell>
        </row>
        <row r="197">
          <cell r="H197">
            <v>296.39999999999998</v>
          </cell>
        </row>
        <row r="198">
          <cell r="H198">
            <v>293</v>
          </cell>
        </row>
        <row r="199">
          <cell r="H199">
            <v>288.3</v>
          </cell>
        </row>
        <row r="200">
          <cell r="H200">
            <v>284.5</v>
          </cell>
        </row>
        <row r="201">
          <cell r="H201">
            <v>280.7</v>
          </cell>
        </row>
        <row r="202">
          <cell r="H202">
            <v>285</v>
          </cell>
        </row>
        <row r="203">
          <cell r="H203">
            <v>298.60000000000002</v>
          </cell>
        </row>
        <row r="204">
          <cell r="H204">
            <v>287.8</v>
          </cell>
        </row>
        <row r="205">
          <cell r="H205">
            <v>286.5</v>
          </cell>
        </row>
        <row r="206">
          <cell r="H206">
            <v>279.3</v>
          </cell>
        </row>
        <row r="207">
          <cell r="H207">
            <v>283.8</v>
          </cell>
        </row>
        <row r="208">
          <cell r="H208">
            <v>296.8</v>
          </cell>
        </row>
        <row r="209">
          <cell r="H209">
            <v>289.10000000000002</v>
          </cell>
        </row>
        <row r="210">
          <cell r="H210">
            <v>300.3</v>
          </cell>
        </row>
        <row r="211">
          <cell r="H211">
            <v>291.89999999999998</v>
          </cell>
        </row>
        <row r="212">
          <cell r="H212">
            <v>288.89999999999998</v>
          </cell>
        </row>
        <row r="213">
          <cell r="H213">
            <v>300.39999999999998</v>
          </cell>
        </row>
        <row r="214">
          <cell r="H214">
            <v>295.8</v>
          </cell>
        </row>
        <row r="215">
          <cell r="H215">
            <v>289.39999999999998</v>
          </cell>
        </row>
        <row r="216">
          <cell r="H216">
            <v>292</v>
          </cell>
        </row>
        <row r="217">
          <cell r="H217">
            <v>300.7</v>
          </cell>
        </row>
        <row r="218">
          <cell r="H218">
            <v>290.89999999999998</v>
          </cell>
        </row>
        <row r="219">
          <cell r="H219">
            <v>307.39999999999998</v>
          </cell>
        </row>
        <row r="220">
          <cell r="H220">
            <v>304.7</v>
          </cell>
        </row>
        <row r="221">
          <cell r="H221">
            <v>292.8</v>
          </cell>
        </row>
        <row r="222">
          <cell r="H222">
            <v>302.3</v>
          </cell>
        </row>
        <row r="223">
          <cell r="H223">
            <v>313.60000000000002</v>
          </cell>
        </row>
        <row r="224">
          <cell r="H224">
            <v>308.7</v>
          </cell>
        </row>
        <row r="225">
          <cell r="H225">
            <v>300</v>
          </cell>
        </row>
        <row r="226">
          <cell r="H226">
            <v>291.7</v>
          </cell>
        </row>
        <row r="227">
          <cell r="H227">
            <v>302.39999999999998</v>
          </cell>
        </row>
        <row r="228">
          <cell r="H228">
            <v>303.7</v>
          </cell>
        </row>
        <row r="229">
          <cell r="H229">
            <v>301</v>
          </cell>
        </row>
        <row r="230">
          <cell r="H230">
            <v>306.2</v>
          </cell>
        </row>
        <row r="231">
          <cell r="H231">
            <v>298.3</v>
          </cell>
        </row>
        <row r="232">
          <cell r="H232">
            <v>284.89999999999998</v>
          </cell>
        </row>
        <row r="233">
          <cell r="H233">
            <v>291.39999999999998</v>
          </cell>
        </row>
        <row r="234">
          <cell r="H234">
            <v>293.8</v>
          </cell>
        </row>
        <row r="235">
          <cell r="H235">
            <v>292.5</v>
          </cell>
        </row>
        <row r="236">
          <cell r="H236">
            <v>302.39999999999998</v>
          </cell>
        </row>
        <row r="237">
          <cell r="H237">
            <v>286.60000000000002</v>
          </cell>
        </row>
        <row r="238">
          <cell r="H238">
            <v>285.89999999999998</v>
          </cell>
        </row>
        <row r="239">
          <cell r="H239">
            <v>276.5</v>
          </cell>
        </row>
        <row r="240">
          <cell r="H240">
            <v>288</v>
          </cell>
        </row>
        <row r="241">
          <cell r="H241">
            <v>286.5</v>
          </cell>
        </row>
        <row r="242">
          <cell r="H242">
            <v>278.89999999999998</v>
          </cell>
        </row>
        <row r="243">
          <cell r="H243">
            <v>275.89999999999998</v>
          </cell>
        </row>
        <row r="244">
          <cell r="H244">
            <v>270.60000000000002</v>
          </cell>
        </row>
        <row r="245">
          <cell r="H245">
            <v>280.7</v>
          </cell>
        </row>
        <row r="246">
          <cell r="H246">
            <v>276.10000000000002</v>
          </cell>
        </row>
        <row r="247">
          <cell r="H247">
            <v>273.10000000000002</v>
          </cell>
        </row>
        <row r="248">
          <cell r="H248">
            <v>275.7</v>
          </cell>
        </row>
        <row r="249">
          <cell r="H249">
            <v>279.2</v>
          </cell>
        </row>
        <row r="250">
          <cell r="H250">
            <v>299.5</v>
          </cell>
        </row>
        <row r="251">
          <cell r="H251">
            <v>290.89999999999998</v>
          </cell>
        </row>
        <row r="252">
          <cell r="H252">
            <v>285.8</v>
          </cell>
        </row>
        <row r="253">
          <cell r="H253">
            <v>278.89999999999998</v>
          </cell>
        </row>
        <row r="254">
          <cell r="H254">
            <v>281</v>
          </cell>
        </row>
        <row r="255">
          <cell r="H255">
            <v>288.8</v>
          </cell>
        </row>
        <row r="256">
          <cell r="H256">
            <v>279.89999999999998</v>
          </cell>
        </row>
        <row r="257">
          <cell r="H257">
            <v>281</v>
          </cell>
        </row>
        <row r="258">
          <cell r="H258">
            <v>277.39999999999998</v>
          </cell>
        </row>
        <row r="259">
          <cell r="H259">
            <v>277</v>
          </cell>
        </row>
        <row r="260">
          <cell r="H260">
            <v>271.5</v>
          </cell>
        </row>
        <row r="261">
          <cell r="H261">
            <v>276.89999999999998</v>
          </cell>
        </row>
        <row r="262">
          <cell r="H262">
            <v>280.3</v>
          </cell>
        </row>
        <row r="263">
          <cell r="H263">
            <v>276.10000000000002</v>
          </cell>
        </row>
        <row r="264">
          <cell r="H264">
            <v>272.7</v>
          </cell>
        </row>
        <row r="265">
          <cell r="H265">
            <v>278.7</v>
          </cell>
        </row>
        <row r="266">
          <cell r="H266">
            <v>278.5</v>
          </cell>
        </row>
        <row r="267">
          <cell r="H267">
            <v>278.10000000000002</v>
          </cell>
        </row>
        <row r="268">
          <cell r="H268">
            <v>279.10000000000002</v>
          </cell>
        </row>
        <row r="269">
          <cell r="H269">
            <v>283.60000000000002</v>
          </cell>
        </row>
        <row r="270">
          <cell r="H270">
            <v>279.8</v>
          </cell>
        </row>
        <row r="271">
          <cell r="H271">
            <v>276.7</v>
          </cell>
        </row>
        <row r="272">
          <cell r="H272">
            <v>282.2</v>
          </cell>
        </row>
        <row r="273">
          <cell r="H273">
            <v>280.10000000000002</v>
          </cell>
        </row>
        <row r="274">
          <cell r="H274">
            <v>274.5</v>
          </cell>
        </row>
        <row r="275">
          <cell r="H275">
            <v>280.10000000000002</v>
          </cell>
        </row>
        <row r="276">
          <cell r="H276">
            <v>276.2</v>
          </cell>
        </row>
        <row r="277">
          <cell r="H277">
            <v>282.5</v>
          </cell>
        </row>
        <row r="278">
          <cell r="H278">
            <v>279.39999999999998</v>
          </cell>
        </row>
        <row r="279">
          <cell r="H279">
            <v>283.2</v>
          </cell>
        </row>
        <row r="280">
          <cell r="H280">
            <v>286.39999999999998</v>
          </cell>
        </row>
        <row r="281">
          <cell r="H281">
            <v>278</v>
          </cell>
        </row>
        <row r="282">
          <cell r="H282">
            <v>280.3</v>
          </cell>
        </row>
        <row r="283">
          <cell r="H283">
            <v>282.89999999999998</v>
          </cell>
        </row>
        <row r="284">
          <cell r="H284">
            <v>279.10000000000002</v>
          </cell>
        </row>
        <row r="285">
          <cell r="H285">
            <v>289.3</v>
          </cell>
        </row>
        <row r="286">
          <cell r="H286">
            <v>284.39999999999998</v>
          </cell>
        </row>
        <row r="287">
          <cell r="H287">
            <v>284.2</v>
          </cell>
        </row>
        <row r="288">
          <cell r="H288">
            <v>281.39999999999998</v>
          </cell>
        </row>
        <row r="289">
          <cell r="H289">
            <v>273.39999999999998</v>
          </cell>
        </row>
        <row r="290">
          <cell r="H290">
            <v>277.60000000000002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mF2"/>
      <sheetName val="hmF1"/>
      <sheetName val="hmE"/>
    </sheetNames>
    <sheetDataSet>
      <sheetData sheetId="0">
        <row r="20">
          <cell r="F20" t="str">
            <v>hmF2</v>
          </cell>
        </row>
        <row r="21">
          <cell r="C21">
            <v>0</v>
          </cell>
          <cell r="F21">
            <v>267.3</v>
          </cell>
        </row>
        <row r="22">
          <cell r="C22">
            <v>3.472222222222222E-3</v>
          </cell>
          <cell r="F22">
            <v>278.39999999999998</v>
          </cell>
        </row>
        <row r="23">
          <cell r="C23">
            <v>6.9444444444444441E-3</v>
          </cell>
          <cell r="F23">
            <v>260</v>
          </cell>
        </row>
        <row r="24">
          <cell r="C24">
            <v>1.0416666666666666E-2</v>
          </cell>
          <cell r="F24">
            <v>278</v>
          </cell>
        </row>
        <row r="25">
          <cell r="C25">
            <v>1.3888888888888888E-2</v>
          </cell>
          <cell r="F25">
            <v>272</v>
          </cell>
        </row>
        <row r="26">
          <cell r="C26">
            <v>1.7361111111111112E-2</v>
          </cell>
          <cell r="F26">
            <v>280.39999999999998</v>
          </cell>
        </row>
        <row r="27">
          <cell r="C27">
            <v>2.0833333333333332E-2</v>
          </cell>
          <cell r="F27">
            <v>272.7</v>
          </cell>
        </row>
        <row r="28">
          <cell r="C28">
            <v>2.4305555555555556E-2</v>
          </cell>
          <cell r="F28">
            <v>270.89999999999998</v>
          </cell>
        </row>
        <row r="29">
          <cell r="C29">
            <v>2.7777777777777776E-2</v>
          </cell>
          <cell r="F29">
            <v>272.60000000000002</v>
          </cell>
        </row>
        <row r="30">
          <cell r="C30">
            <v>3.125E-2</v>
          </cell>
          <cell r="F30">
            <v>275.5</v>
          </cell>
        </row>
        <row r="31">
          <cell r="C31">
            <v>3.4722222222222224E-2</v>
          </cell>
          <cell r="F31">
            <v>266.39999999999998</v>
          </cell>
        </row>
        <row r="32">
          <cell r="C32">
            <v>3.8194444444444448E-2</v>
          </cell>
          <cell r="F32">
            <v>265.7</v>
          </cell>
        </row>
        <row r="33">
          <cell r="C33">
            <v>4.1666666666666664E-2</v>
          </cell>
          <cell r="F33">
            <v>272.5</v>
          </cell>
        </row>
        <row r="34">
          <cell r="C34">
            <v>4.5138888888888888E-2</v>
          </cell>
          <cell r="F34">
            <v>303.7</v>
          </cell>
        </row>
        <row r="35">
          <cell r="C35">
            <v>4.8611111111111112E-2</v>
          </cell>
          <cell r="F35">
            <v>269.10000000000002</v>
          </cell>
        </row>
        <row r="36">
          <cell r="C36">
            <v>5.2083333333333336E-2</v>
          </cell>
          <cell r="F36">
            <v>266.7</v>
          </cell>
        </row>
        <row r="37">
          <cell r="C37">
            <v>5.5555555555555552E-2</v>
          </cell>
          <cell r="F37">
            <v>274</v>
          </cell>
        </row>
        <row r="38">
          <cell r="C38">
            <v>5.9027777777777776E-2</v>
          </cell>
          <cell r="F38">
            <v>287.5</v>
          </cell>
        </row>
        <row r="39">
          <cell r="C39">
            <v>6.25E-2</v>
          </cell>
          <cell r="F39">
            <v>295.8</v>
          </cell>
        </row>
        <row r="40">
          <cell r="C40">
            <v>6.5972222222222224E-2</v>
          </cell>
          <cell r="F40">
            <v>287.10000000000002</v>
          </cell>
        </row>
        <row r="41">
          <cell r="C41">
            <v>6.9444444444444448E-2</v>
          </cell>
          <cell r="F41">
            <v>264.7</v>
          </cell>
        </row>
        <row r="42">
          <cell r="C42">
            <v>7.2916666666666671E-2</v>
          </cell>
          <cell r="F42">
            <v>283.8</v>
          </cell>
        </row>
        <row r="43">
          <cell r="C43">
            <v>7.6388888888888895E-2</v>
          </cell>
          <cell r="F43">
            <v>269.5</v>
          </cell>
        </row>
        <row r="44">
          <cell r="C44">
            <v>7.9861111111111105E-2</v>
          </cell>
          <cell r="F44">
            <v>270.89999999999998</v>
          </cell>
        </row>
        <row r="45">
          <cell r="C45">
            <v>8.3333333333333329E-2</v>
          </cell>
          <cell r="F45">
            <v>269.10000000000002</v>
          </cell>
        </row>
        <row r="46">
          <cell r="C46">
            <v>8.6805555555555552E-2</v>
          </cell>
          <cell r="F46">
            <v>269.7</v>
          </cell>
        </row>
        <row r="47">
          <cell r="C47">
            <v>9.0277777777777776E-2</v>
          </cell>
          <cell r="F47">
            <v>254.9</v>
          </cell>
        </row>
        <row r="48">
          <cell r="C48">
            <v>9.375E-2</v>
          </cell>
          <cell r="F48">
            <v>262.8</v>
          </cell>
        </row>
        <row r="49">
          <cell r="C49">
            <v>9.7222222222222224E-2</v>
          </cell>
          <cell r="F49">
            <v>271.8</v>
          </cell>
        </row>
        <row r="50">
          <cell r="C50">
            <v>0.10069444444444445</v>
          </cell>
          <cell r="F50">
            <v>260</v>
          </cell>
        </row>
        <row r="51">
          <cell r="C51">
            <v>0.10416666666666667</v>
          </cell>
          <cell r="F51">
            <v>249.2</v>
          </cell>
        </row>
        <row r="52">
          <cell r="C52">
            <v>0.1076388888888889</v>
          </cell>
          <cell r="F52">
            <v>276.39999999999998</v>
          </cell>
        </row>
        <row r="53">
          <cell r="C53">
            <v>0.1111111111111111</v>
          </cell>
          <cell r="F53">
            <v>283.5</v>
          </cell>
        </row>
        <row r="54">
          <cell r="C54">
            <v>0.11458333333333333</v>
          </cell>
          <cell r="F54">
            <v>291.39999999999998</v>
          </cell>
        </row>
        <row r="55">
          <cell r="C55">
            <v>0.11805555555555555</v>
          </cell>
          <cell r="F55">
            <v>315</v>
          </cell>
        </row>
        <row r="56">
          <cell r="C56">
            <v>0.12152777777777778</v>
          </cell>
          <cell r="F56">
            <v>305.3</v>
          </cell>
        </row>
        <row r="57">
          <cell r="C57">
            <v>0.125</v>
          </cell>
          <cell r="F57">
            <v>272.8</v>
          </cell>
        </row>
        <row r="58">
          <cell r="C58">
            <v>0.12847222222222221</v>
          </cell>
          <cell r="F58">
            <v>305.2</v>
          </cell>
        </row>
        <row r="59">
          <cell r="C59">
            <v>0.13194444444444445</v>
          </cell>
          <cell r="F59">
            <v>320.10000000000002</v>
          </cell>
        </row>
        <row r="60">
          <cell r="C60">
            <v>0.13541666666666666</v>
          </cell>
          <cell r="F60">
            <v>327.39999999999998</v>
          </cell>
        </row>
        <row r="61">
          <cell r="C61">
            <v>0.1388888888888889</v>
          </cell>
          <cell r="F61">
            <v>324.7</v>
          </cell>
        </row>
        <row r="62">
          <cell r="C62">
            <v>0.1423611111111111</v>
          </cell>
          <cell r="F62">
            <v>300.2</v>
          </cell>
        </row>
        <row r="63">
          <cell r="C63">
            <v>0.14583333333333334</v>
          </cell>
          <cell r="F63">
            <v>336.6</v>
          </cell>
        </row>
        <row r="64">
          <cell r="C64">
            <v>0.14930555555555555</v>
          </cell>
          <cell r="F64">
            <v>344.7</v>
          </cell>
        </row>
        <row r="65">
          <cell r="C65">
            <v>0.15277777777777779</v>
          </cell>
          <cell r="F65">
            <v>349.6</v>
          </cell>
        </row>
        <row r="66">
          <cell r="C66">
            <v>0.15625</v>
          </cell>
          <cell r="F66">
            <v>355</v>
          </cell>
        </row>
        <row r="67">
          <cell r="C67">
            <v>0.15972222222222221</v>
          </cell>
          <cell r="F67">
            <v>349.9</v>
          </cell>
        </row>
        <row r="68">
          <cell r="C68">
            <v>0.16319444444444445</v>
          </cell>
          <cell r="F68">
            <v>354</v>
          </cell>
        </row>
        <row r="69">
          <cell r="C69">
            <v>0.16666666666666666</v>
          </cell>
          <cell r="F69">
            <v>352</v>
          </cell>
        </row>
        <row r="70">
          <cell r="C70">
            <v>0.1701388888888889</v>
          </cell>
          <cell r="F70">
            <v>341.4</v>
          </cell>
        </row>
        <row r="71">
          <cell r="C71">
            <v>0.1736111111111111</v>
          </cell>
          <cell r="F71">
            <v>341.1</v>
          </cell>
        </row>
        <row r="72">
          <cell r="C72">
            <v>0.17708333333333334</v>
          </cell>
          <cell r="F72">
            <v>349.7</v>
          </cell>
        </row>
        <row r="73">
          <cell r="C73">
            <v>0.18055555555555555</v>
          </cell>
          <cell r="F73">
            <v>351.6</v>
          </cell>
        </row>
        <row r="74">
          <cell r="C74">
            <v>0.18402777777777779</v>
          </cell>
          <cell r="F74">
            <v>346.6</v>
          </cell>
        </row>
        <row r="75">
          <cell r="C75">
            <v>0.1875</v>
          </cell>
          <cell r="F75">
            <v>308.39999999999998</v>
          </cell>
        </row>
        <row r="76">
          <cell r="C76">
            <v>0.19097222222222221</v>
          </cell>
          <cell r="F76">
            <v>351.9</v>
          </cell>
        </row>
        <row r="77">
          <cell r="C77">
            <v>0.19444444444444445</v>
          </cell>
          <cell r="F77">
            <v>348.7</v>
          </cell>
        </row>
        <row r="78">
          <cell r="C78">
            <v>0.19791666666666666</v>
          </cell>
          <cell r="F78">
            <v>321.2</v>
          </cell>
        </row>
        <row r="79">
          <cell r="C79">
            <v>0.2013888888888889</v>
          </cell>
          <cell r="F79">
            <v>343.7</v>
          </cell>
        </row>
        <row r="80">
          <cell r="C80">
            <v>0.2048611111111111</v>
          </cell>
          <cell r="F80">
            <v>340.1</v>
          </cell>
        </row>
        <row r="81">
          <cell r="C81">
            <v>0.20833333333333334</v>
          </cell>
          <cell r="F81">
            <v>346</v>
          </cell>
        </row>
        <row r="82">
          <cell r="C82">
            <v>0.21180555555555555</v>
          </cell>
          <cell r="F82">
            <v>338.9</v>
          </cell>
        </row>
        <row r="83">
          <cell r="C83">
            <v>0.21527777777777779</v>
          </cell>
          <cell r="F83">
            <v>346.4</v>
          </cell>
        </row>
        <row r="84">
          <cell r="C84">
            <v>0.21875</v>
          </cell>
          <cell r="F84">
            <v>343</v>
          </cell>
        </row>
        <row r="85">
          <cell r="C85">
            <v>0.22222222222222221</v>
          </cell>
          <cell r="F85">
            <v>346.9</v>
          </cell>
        </row>
        <row r="86">
          <cell r="C86">
            <v>0.22569444444444445</v>
          </cell>
          <cell r="F86">
            <v>342.9</v>
          </cell>
        </row>
        <row r="87">
          <cell r="C87">
            <v>0.22916666666666666</v>
          </cell>
          <cell r="F87">
            <v>338.6</v>
          </cell>
        </row>
        <row r="88">
          <cell r="C88">
            <v>0.2326388888888889</v>
          </cell>
          <cell r="F88">
            <v>340</v>
          </cell>
        </row>
        <row r="89">
          <cell r="C89">
            <v>0.2361111111111111</v>
          </cell>
          <cell r="F89">
            <v>338.2</v>
          </cell>
        </row>
        <row r="90">
          <cell r="C90">
            <v>0.23958333333333334</v>
          </cell>
          <cell r="F90">
            <v>326.7</v>
          </cell>
        </row>
        <row r="91">
          <cell r="C91">
            <v>0.24305555555555555</v>
          </cell>
          <cell r="F91">
            <v>331.7</v>
          </cell>
        </row>
        <row r="92">
          <cell r="C92">
            <v>0.24652777777777779</v>
          </cell>
          <cell r="F92">
            <v>329.4</v>
          </cell>
        </row>
        <row r="93">
          <cell r="C93">
            <v>0.25</v>
          </cell>
          <cell r="F93">
            <v>313.2</v>
          </cell>
        </row>
        <row r="94">
          <cell r="C94">
            <v>0.25347222222222221</v>
          </cell>
          <cell r="F94">
            <v>333.6</v>
          </cell>
        </row>
        <row r="95">
          <cell r="C95">
            <v>0.25694444444444442</v>
          </cell>
          <cell r="F95">
            <v>322.2</v>
          </cell>
        </row>
        <row r="96">
          <cell r="C96">
            <v>0.26041666666666669</v>
          </cell>
          <cell r="F96">
            <v>336.2</v>
          </cell>
        </row>
        <row r="97">
          <cell r="C97">
            <v>0.2638888888888889</v>
          </cell>
          <cell r="F97">
            <v>350.1</v>
          </cell>
        </row>
        <row r="98">
          <cell r="C98">
            <v>0.2673611111111111</v>
          </cell>
          <cell r="F98">
            <v>347.5</v>
          </cell>
        </row>
        <row r="99">
          <cell r="C99">
            <v>0.27083333333333331</v>
          </cell>
          <cell r="F99">
            <v>356</v>
          </cell>
        </row>
        <row r="100">
          <cell r="C100">
            <v>0.27430555555555558</v>
          </cell>
          <cell r="F100">
            <v>360.1</v>
          </cell>
        </row>
        <row r="101">
          <cell r="C101">
            <v>0.27777777777777779</v>
          </cell>
          <cell r="F101">
            <v>344.1</v>
          </cell>
        </row>
        <row r="102">
          <cell r="C102">
            <v>0.28125</v>
          </cell>
          <cell r="F102">
            <v>365.3</v>
          </cell>
        </row>
        <row r="103">
          <cell r="C103">
            <v>0.28472222222222221</v>
          </cell>
          <cell r="F103">
            <v>356.9</v>
          </cell>
        </row>
        <row r="104">
          <cell r="C104">
            <v>0.28819444444444442</v>
          </cell>
          <cell r="F104">
            <v>364.6</v>
          </cell>
        </row>
        <row r="105">
          <cell r="C105">
            <v>0.29166666666666669</v>
          </cell>
          <cell r="F105">
            <v>364</v>
          </cell>
        </row>
        <row r="106">
          <cell r="C106">
            <v>0.2951388888888889</v>
          </cell>
          <cell r="F106">
            <v>362.3</v>
          </cell>
        </row>
        <row r="107">
          <cell r="C107">
            <v>0.2986111111111111</v>
          </cell>
          <cell r="F107">
            <v>348.1</v>
          </cell>
        </row>
        <row r="108">
          <cell r="C108">
            <v>0.30208333333333331</v>
          </cell>
          <cell r="F108">
            <v>361.4</v>
          </cell>
        </row>
        <row r="109">
          <cell r="C109">
            <v>0.30555555555555558</v>
          </cell>
          <cell r="F109">
            <v>367.4</v>
          </cell>
        </row>
        <row r="110">
          <cell r="C110">
            <v>0.30902777777777779</v>
          </cell>
          <cell r="F110">
            <v>375.5</v>
          </cell>
        </row>
        <row r="111">
          <cell r="C111">
            <v>0.3125</v>
          </cell>
          <cell r="F111">
            <v>375.3</v>
          </cell>
        </row>
        <row r="112">
          <cell r="C112">
            <v>0.31597222222222221</v>
          </cell>
          <cell r="F112">
            <v>366.5</v>
          </cell>
        </row>
        <row r="113">
          <cell r="C113">
            <v>0.31944444444444442</v>
          </cell>
          <cell r="F113">
            <v>370.7</v>
          </cell>
        </row>
        <row r="114">
          <cell r="C114">
            <v>0.32291666666666669</v>
          </cell>
          <cell r="F114">
            <v>358.6</v>
          </cell>
        </row>
        <row r="115">
          <cell r="C115">
            <v>0.3263888888888889</v>
          </cell>
          <cell r="F115">
            <v>359.6</v>
          </cell>
        </row>
        <row r="116">
          <cell r="C116">
            <v>0.3298611111111111</v>
          </cell>
          <cell r="F116">
            <v>329.3</v>
          </cell>
        </row>
        <row r="117">
          <cell r="C117">
            <v>0.33333333333333331</v>
          </cell>
          <cell r="F117">
            <v>351.5</v>
          </cell>
        </row>
        <row r="118">
          <cell r="C118">
            <v>0.33680555555555558</v>
          </cell>
          <cell r="F118">
            <v>317.89999999999998</v>
          </cell>
        </row>
        <row r="119">
          <cell r="C119">
            <v>0.34027777777777779</v>
          </cell>
          <cell r="F119">
            <v>361.2</v>
          </cell>
        </row>
        <row r="120">
          <cell r="C120">
            <v>0.34375</v>
          </cell>
          <cell r="F120">
            <v>368.7</v>
          </cell>
        </row>
        <row r="121">
          <cell r="C121">
            <v>0.34722222222222221</v>
          </cell>
          <cell r="F121">
            <v>368.3</v>
          </cell>
        </row>
        <row r="122">
          <cell r="C122">
            <v>0.35069444444444442</v>
          </cell>
          <cell r="F122">
            <v>354</v>
          </cell>
        </row>
        <row r="123">
          <cell r="C123">
            <v>0.35416666666666669</v>
          </cell>
          <cell r="F123">
            <v>361.3</v>
          </cell>
        </row>
        <row r="124">
          <cell r="C124">
            <v>0.3576388888888889</v>
          </cell>
          <cell r="F124">
            <v>368</v>
          </cell>
        </row>
        <row r="125">
          <cell r="C125">
            <v>0.3611111111111111</v>
          </cell>
          <cell r="F125">
            <v>354</v>
          </cell>
        </row>
        <row r="126">
          <cell r="C126">
            <v>0.36458333333333331</v>
          </cell>
          <cell r="F126">
            <v>358.6</v>
          </cell>
        </row>
        <row r="127">
          <cell r="C127">
            <v>0.36805555555555558</v>
          </cell>
          <cell r="F127">
            <v>360.8</v>
          </cell>
        </row>
        <row r="128">
          <cell r="C128">
            <v>0.37152777777777779</v>
          </cell>
          <cell r="F128">
            <v>355.9</v>
          </cell>
        </row>
        <row r="129">
          <cell r="C129">
            <v>0.375</v>
          </cell>
          <cell r="F129">
            <v>346.1</v>
          </cell>
        </row>
        <row r="130">
          <cell r="C130">
            <v>0.37847222222222221</v>
          </cell>
          <cell r="F130">
            <v>357.1</v>
          </cell>
        </row>
        <row r="131">
          <cell r="C131">
            <v>0.38194444444444442</v>
          </cell>
          <cell r="F131">
            <v>346.8</v>
          </cell>
        </row>
        <row r="132">
          <cell r="C132">
            <v>0.38541666666666669</v>
          </cell>
          <cell r="F132">
            <v>346.7</v>
          </cell>
        </row>
        <row r="133">
          <cell r="C133">
            <v>0.3888888888888889</v>
          </cell>
          <cell r="F133">
            <v>330.3</v>
          </cell>
        </row>
        <row r="134">
          <cell r="C134">
            <v>0.3923611111111111</v>
          </cell>
          <cell r="F134">
            <v>342</v>
          </cell>
        </row>
        <row r="135">
          <cell r="C135">
            <v>0.39583333333333331</v>
          </cell>
          <cell r="F135">
            <v>334.1</v>
          </cell>
        </row>
        <row r="136">
          <cell r="C136">
            <v>0.39930555555555558</v>
          </cell>
          <cell r="F136">
            <v>315.2</v>
          </cell>
        </row>
        <row r="137">
          <cell r="C137">
            <v>0.40277777777777779</v>
          </cell>
          <cell r="F137">
            <v>344</v>
          </cell>
        </row>
        <row r="138">
          <cell r="C138">
            <v>0.40625</v>
          </cell>
          <cell r="F138">
            <v>330.5</v>
          </cell>
        </row>
        <row r="139">
          <cell r="C139">
            <v>0.40972222222222221</v>
          </cell>
          <cell r="F139">
            <v>335.7</v>
          </cell>
        </row>
        <row r="140">
          <cell r="C140">
            <v>0.41319444444444442</v>
          </cell>
          <cell r="F140">
            <v>334</v>
          </cell>
        </row>
        <row r="141">
          <cell r="C141">
            <v>0.41666666666666669</v>
          </cell>
          <cell r="F141">
            <v>329.3</v>
          </cell>
        </row>
        <row r="142">
          <cell r="C142">
            <v>0.4201388888888889</v>
          </cell>
          <cell r="F142">
            <v>307</v>
          </cell>
        </row>
        <row r="143">
          <cell r="C143">
            <v>0.4236111111111111</v>
          </cell>
          <cell r="F143">
            <v>324.5</v>
          </cell>
        </row>
        <row r="144">
          <cell r="C144">
            <v>0.42708333333333331</v>
          </cell>
          <cell r="F144">
            <v>329.7</v>
          </cell>
        </row>
        <row r="145">
          <cell r="C145">
            <v>0.43055555555555558</v>
          </cell>
          <cell r="F145">
            <v>324.10000000000002</v>
          </cell>
        </row>
        <row r="146">
          <cell r="C146">
            <v>0.43402777777777779</v>
          </cell>
          <cell r="F146">
            <v>329.9</v>
          </cell>
        </row>
        <row r="147">
          <cell r="C147">
            <v>0.4375</v>
          </cell>
          <cell r="F147">
            <v>343.1</v>
          </cell>
        </row>
        <row r="148">
          <cell r="C148">
            <v>0.44097222222222221</v>
          </cell>
          <cell r="F148">
            <v>338.8</v>
          </cell>
        </row>
        <row r="149">
          <cell r="C149">
            <v>0.44444444444444442</v>
          </cell>
          <cell r="F149">
            <v>324.7</v>
          </cell>
        </row>
        <row r="150">
          <cell r="C150">
            <v>0.44791666666666669</v>
          </cell>
          <cell r="F150">
            <v>339.1</v>
          </cell>
        </row>
        <row r="151">
          <cell r="C151">
            <v>0.4513888888888889</v>
          </cell>
          <cell r="F151">
            <v>327.3</v>
          </cell>
        </row>
        <row r="152">
          <cell r="C152">
            <v>0.4548611111111111</v>
          </cell>
          <cell r="F152">
            <v>327.2</v>
          </cell>
        </row>
        <row r="153">
          <cell r="C153">
            <v>0.45833333333333331</v>
          </cell>
          <cell r="F153">
            <v>333.7</v>
          </cell>
        </row>
        <row r="154">
          <cell r="C154">
            <v>0.46180555555555558</v>
          </cell>
          <cell r="F154">
            <v>328.1</v>
          </cell>
        </row>
        <row r="155">
          <cell r="C155">
            <v>0.46527777777777779</v>
          </cell>
          <cell r="F155">
            <v>331.5</v>
          </cell>
        </row>
        <row r="156">
          <cell r="C156">
            <v>0.46875</v>
          </cell>
          <cell r="F156">
            <v>320.3</v>
          </cell>
        </row>
        <row r="157">
          <cell r="C157">
            <v>0.47222222222222221</v>
          </cell>
          <cell r="F157">
            <v>319.3</v>
          </cell>
        </row>
        <row r="158">
          <cell r="C158">
            <v>0.47569444444444442</v>
          </cell>
          <cell r="F158">
            <v>306.2</v>
          </cell>
        </row>
        <row r="159">
          <cell r="C159">
            <v>0.47916666666666669</v>
          </cell>
          <cell r="F159">
            <v>324.7</v>
          </cell>
        </row>
        <row r="160">
          <cell r="C160">
            <v>0.4826388888888889</v>
          </cell>
          <cell r="F160">
            <v>321.89999999999998</v>
          </cell>
        </row>
        <row r="161">
          <cell r="C161">
            <v>0.4861111111111111</v>
          </cell>
          <cell r="F161">
            <v>308.5</v>
          </cell>
        </row>
        <row r="162">
          <cell r="C162">
            <v>0.48958333333333331</v>
          </cell>
          <cell r="F162">
            <v>294.8</v>
          </cell>
        </row>
        <row r="163">
          <cell r="C163">
            <v>0.49305555555555558</v>
          </cell>
          <cell r="F163">
            <v>288</v>
          </cell>
        </row>
        <row r="164">
          <cell r="C164">
            <v>0.49652777777777779</v>
          </cell>
          <cell r="F164">
            <v>274.5</v>
          </cell>
        </row>
        <row r="165">
          <cell r="C165">
            <v>0.5</v>
          </cell>
          <cell r="F165">
            <v>301.3</v>
          </cell>
        </row>
        <row r="166">
          <cell r="C166">
            <v>0.50347222222222221</v>
          </cell>
          <cell r="F166">
            <v>274.89999999999998</v>
          </cell>
        </row>
        <row r="167">
          <cell r="C167">
            <v>0.50694444444444442</v>
          </cell>
          <cell r="F167">
            <v>285.5</v>
          </cell>
        </row>
        <row r="168">
          <cell r="C168">
            <v>0.51041666666666663</v>
          </cell>
          <cell r="F168">
            <v>258.39999999999998</v>
          </cell>
        </row>
        <row r="169">
          <cell r="C169">
            <v>0.51388888888888884</v>
          </cell>
          <cell r="F169">
            <v>268.8</v>
          </cell>
        </row>
        <row r="170">
          <cell r="C170">
            <v>0.51736111111111116</v>
          </cell>
          <cell r="F170">
            <v>265.60000000000002</v>
          </cell>
        </row>
        <row r="171">
          <cell r="C171">
            <v>0.52083333333333337</v>
          </cell>
          <cell r="F171">
            <v>270.5</v>
          </cell>
        </row>
        <row r="172">
          <cell r="C172">
            <v>0.52430555555555558</v>
          </cell>
          <cell r="F172">
            <v>251</v>
          </cell>
        </row>
        <row r="173">
          <cell r="C173">
            <v>0.52777777777777779</v>
          </cell>
          <cell r="F173">
            <v>253.7</v>
          </cell>
        </row>
        <row r="174">
          <cell r="C174">
            <v>0.53125</v>
          </cell>
          <cell r="F174">
            <v>245.5</v>
          </cell>
        </row>
        <row r="175">
          <cell r="C175">
            <v>0.53472222222222221</v>
          </cell>
          <cell r="F175">
            <v>259.5</v>
          </cell>
        </row>
        <row r="176">
          <cell r="C176">
            <v>0.53819444444444442</v>
          </cell>
          <cell r="F176">
            <v>215.9</v>
          </cell>
        </row>
        <row r="177">
          <cell r="C177">
            <v>0.54166666666666663</v>
          </cell>
          <cell r="F177">
            <v>240.6</v>
          </cell>
        </row>
        <row r="178">
          <cell r="C178">
            <v>0.54513888888888884</v>
          </cell>
          <cell r="F178">
            <v>257.7</v>
          </cell>
        </row>
        <row r="179">
          <cell r="C179">
            <v>0.54861111111111116</v>
          </cell>
          <cell r="F179">
            <v>244.4</v>
          </cell>
        </row>
        <row r="180">
          <cell r="C180">
            <v>0.55208333333333337</v>
          </cell>
          <cell r="F180">
            <v>253.7</v>
          </cell>
        </row>
        <row r="181">
          <cell r="C181">
            <v>0.55555555555555558</v>
          </cell>
          <cell r="F181">
            <v>257.89999999999998</v>
          </cell>
        </row>
        <row r="182">
          <cell r="C182">
            <v>0.55902777777777779</v>
          </cell>
          <cell r="F182">
            <v>257.2</v>
          </cell>
        </row>
        <row r="183">
          <cell r="C183">
            <v>0.5625</v>
          </cell>
          <cell r="F183">
            <v>221.1</v>
          </cell>
        </row>
        <row r="184">
          <cell r="C184">
            <v>0.56597222222222221</v>
          </cell>
          <cell r="F184">
            <v>235.6</v>
          </cell>
        </row>
        <row r="185">
          <cell r="C185">
            <v>0.56944444444444442</v>
          </cell>
          <cell r="F185">
            <v>238.2</v>
          </cell>
        </row>
        <row r="186">
          <cell r="C186">
            <v>0.57291666666666663</v>
          </cell>
          <cell r="F186">
            <v>237.3</v>
          </cell>
        </row>
        <row r="187">
          <cell r="C187">
            <v>0.57638888888888884</v>
          </cell>
          <cell r="F187">
            <v>252.9</v>
          </cell>
        </row>
        <row r="188">
          <cell r="C188">
            <v>0.57986111111111116</v>
          </cell>
          <cell r="F188">
            <v>255.5</v>
          </cell>
        </row>
        <row r="189">
          <cell r="C189">
            <v>0.58333333333333337</v>
          </cell>
          <cell r="F189">
            <v>260.2</v>
          </cell>
        </row>
        <row r="190">
          <cell r="C190">
            <v>0.58680555555555558</v>
          </cell>
          <cell r="F190">
            <v>250</v>
          </cell>
        </row>
        <row r="191">
          <cell r="C191">
            <v>0.59027777777777779</v>
          </cell>
          <cell r="F191">
            <v>228.6</v>
          </cell>
        </row>
        <row r="192">
          <cell r="C192">
            <v>0.59375</v>
          </cell>
          <cell r="F192">
            <v>228.2</v>
          </cell>
        </row>
        <row r="193">
          <cell r="C193">
            <v>0.59722222222222221</v>
          </cell>
          <cell r="F193">
            <v>236.2</v>
          </cell>
        </row>
        <row r="194">
          <cell r="C194">
            <v>0.60069444444444442</v>
          </cell>
          <cell r="F194">
            <v>253</v>
          </cell>
        </row>
        <row r="195">
          <cell r="C195">
            <v>0.60416666666666663</v>
          </cell>
          <cell r="F195">
            <v>232.8</v>
          </cell>
        </row>
        <row r="196">
          <cell r="C196">
            <v>0.60763888888888884</v>
          </cell>
          <cell r="F196">
            <v>256.8</v>
          </cell>
        </row>
        <row r="197">
          <cell r="C197">
            <v>0.61111111111111116</v>
          </cell>
          <cell r="F197">
            <v>249.2</v>
          </cell>
        </row>
        <row r="198">
          <cell r="C198">
            <v>0.61458333333333337</v>
          </cell>
          <cell r="F198">
            <v>255</v>
          </cell>
        </row>
        <row r="199">
          <cell r="C199">
            <v>0.61805555555555558</v>
          </cell>
          <cell r="F199">
            <v>264.2</v>
          </cell>
        </row>
        <row r="200">
          <cell r="C200">
            <v>0.62152777777777779</v>
          </cell>
          <cell r="F200">
            <v>279.10000000000002</v>
          </cell>
        </row>
        <row r="201">
          <cell r="C201">
            <v>0.625</v>
          </cell>
          <cell r="F201">
            <v>277.5</v>
          </cell>
        </row>
        <row r="202">
          <cell r="C202">
            <v>0.62847222222222221</v>
          </cell>
          <cell r="F202">
            <v>268.60000000000002</v>
          </cell>
        </row>
        <row r="203">
          <cell r="C203">
            <v>0.63194444444444442</v>
          </cell>
          <cell r="F203">
            <v>266.7</v>
          </cell>
        </row>
        <row r="204">
          <cell r="C204">
            <v>0.63541666666666663</v>
          </cell>
          <cell r="F204">
            <v>258.7</v>
          </cell>
        </row>
        <row r="205">
          <cell r="C205">
            <v>0.63888888888888884</v>
          </cell>
          <cell r="F205">
            <v>254.1</v>
          </cell>
        </row>
        <row r="206">
          <cell r="C206">
            <v>0.64236111111111116</v>
          </cell>
          <cell r="F206">
            <v>261.3</v>
          </cell>
        </row>
        <row r="207">
          <cell r="C207">
            <v>0.64583333333333337</v>
          </cell>
          <cell r="F207">
            <v>272.5</v>
          </cell>
        </row>
        <row r="208">
          <cell r="C208">
            <v>0.64930555555555558</v>
          </cell>
          <cell r="F208">
            <v>276.10000000000002</v>
          </cell>
        </row>
        <row r="209">
          <cell r="C209">
            <v>0.65277777777777779</v>
          </cell>
          <cell r="F209">
            <v>292.3</v>
          </cell>
        </row>
        <row r="210">
          <cell r="C210">
            <v>0.65625</v>
          </cell>
          <cell r="F210">
            <v>274.89999999999998</v>
          </cell>
        </row>
        <row r="211">
          <cell r="C211">
            <v>0.65972222222222221</v>
          </cell>
          <cell r="F211">
            <v>255</v>
          </cell>
        </row>
        <row r="212">
          <cell r="C212">
            <v>0.66319444444444442</v>
          </cell>
          <cell r="F212">
            <v>283.8</v>
          </cell>
        </row>
        <row r="213">
          <cell r="C213">
            <v>0.66666666666666663</v>
          </cell>
          <cell r="F213">
            <v>297.7</v>
          </cell>
        </row>
        <row r="214">
          <cell r="C214">
            <v>0.67013888888888884</v>
          </cell>
          <cell r="F214">
            <v>292.8</v>
          </cell>
        </row>
        <row r="215">
          <cell r="C215">
            <v>0.67361111111111116</v>
          </cell>
          <cell r="F215">
            <v>274.3</v>
          </cell>
        </row>
        <row r="216">
          <cell r="C216">
            <v>0.67708333333333337</v>
          </cell>
          <cell r="F216">
            <v>238.5</v>
          </cell>
        </row>
        <row r="217">
          <cell r="C217">
            <v>0.68055555555555558</v>
          </cell>
          <cell r="F217">
            <v>250.8</v>
          </cell>
        </row>
        <row r="218">
          <cell r="C218">
            <v>0.68402777777777779</v>
          </cell>
          <cell r="F218">
            <v>277.10000000000002</v>
          </cell>
        </row>
        <row r="219">
          <cell r="C219">
            <v>0.6875</v>
          </cell>
          <cell r="F219">
            <v>277.3</v>
          </cell>
        </row>
        <row r="220">
          <cell r="C220">
            <v>0.69097222222222221</v>
          </cell>
          <cell r="F220">
            <v>285.2</v>
          </cell>
        </row>
        <row r="221">
          <cell r="C221">
            <v>0.69444444444444442</v>
          </cell>
          <cell r="F221">
            <v>290.2</v>
          </cell>
        </row>
        <row r="222">
          <cell r="C222">
            <v>0.69791666666666663</v>
          </cell>
          <cell r="F222">
            <v>275</v>
          </cell>
        </row>
        <row r="223">
          <cell r="C223">
            <v>0.70138888888888884</v>
          </cell>
          <cell r="F223">
            <v>277.3</v>
          </cell>
        </row>
        <row r="224">
          <cell r="C224">
            <v>0.70486111111111116</v>
          </cell>
          <cell r="F224">
            <v>286.10000000000002</v>
          </cell>
        </row>
        <row r="225">
          <cell r="C225">
            <v>0.70833333333333337</v>
          </cell>
          <cell r="F225">
            <v>272.7</v>
          </cell>
        </row>
        <row r="226">
          <cell r="C226">
            <v>0.71180555555555558</v>
          </cell>
          <cell r="F226">
            <v>258.39999999999998</v>
          </cell>
        </row>
        <row r="227">
          <cell r="C227">
            <v>0.71527777777777779</v>
          </cell>
          <cell r="F227">
            <v>266.39999999999998</v>
          </cell>
        </row>
        <row r="228">
          <cell r="C228">
            <v>0.72222222222222221</v>
          </cell>
          <cell r="F228">
            <v>263.60000000000002</v>
          </cell>
        </row>
        <row r="229">
          <cell r="C229">
            <v>0.72569444444444442</v>
          </cell>
          <cell r="F229">
            <v>270.3</v>
          </cell>
        </row>
        <row r="230">
          <cell r="C230">
            <v>0.72916666666666663</v>
          </cell>
          <cell r="F230">
            <v>292.7</v>
          </cell>
        </row>
        <row r="231">
          <cell r="C231">
            <v>0.73263888888888884</v>
          </cell>
          <cell r="F231">
            <v>268.60000000000002</v>
          </cell>
        </row>
        <row r="232">
          <cell r="C232">
            <v>0.73611111111111116</v>
          </cell>
          <cell r="F232">
            <v>264.3</v>
          </cell>
        </row>
        <row r="233">
          <cell r="C233">
            <v>0.74305555555555558</v>
          </cell>
          <cell r="F233">
            <v>286.7</v>
          </cell>
        </row>
        <row r="234">
          <cell r="C234">
            <v>0.74652777777777779</v>
          </cell>
          <cell r="F234">
            <v>263.60000000000002</v>
          </cell>
        </row>
        <row r="235">
          <cell r="C235">
            <v>0.75</v>
          </cell>
          <cell r="F235">
            <v>290.7</v>
          </cell>
        </row>
        <row r="236">
          <cell r="C236">
            <v>0.75347222222222221</v>
          </cell>
          <cell r="F236">
            <v>296.3</v>
          </cell>
        </row>
        <row r="237">
          <cell r="C237">
            <v>0.75694444444444442</v>
          </cell>
          <cell r="F237">
            <v>279.89999999999998</v>
          </cell>
        </row>
        <row r="238">
          <cell r="C238">
            <v>0.76041666666666663</v>
          </cell>
          <cell r="F238">
            <v>264.8</v>
          </cell>
        </row>
        <row r="239">
          <cell r="C239">
            <v>0.76388888888888884</v>
          </cell>
          <cell r="F239">
            <v>267.10000000000002</v>
          </cell>
        </row>
        <row r="240">
          <cell r="C240">
            <v>0.76736111111111116</v>
          </cell>
          <cell r="F240">
            <v>292.39999999999998</v>
          </cell>
        </row>
        <row r="241">
          <cell r="C241">
            <v>0.77083333333333337</v>
          </cell>
          <cell r="F241">
            <v>285.7</v>
          </cell>
        </row>
        <row r="242">
          <cell r="C242">
            <v>0.77430555555555558</v>
          </cell>
          <cell r="F242">
            <v>267.10000000000002</v>
          </cell>
        </row>
        <row r="243">
          <cell r="C243">
            <v>0.77777777777777779</v>
          </cell>
          <cell r="F243">
            <v>254.1</v>
          </cell>
        </row>
        <row r="244">
          <cell r="C244">
            <v>0.78125</v>
          </cell>
          <cell r="F244">
            <v>288.39999999999998</v>
          </cell>
        </row>
        <row r="245">
          <cell r="C245">
            <v>0.78472222222222221</v>
          </cell>
          <cell r="F245">
            <v>282</v>
          </cell>
        </row>
        <row r="246">
          <cell r="C246">
            <v>0.78819444444444442</v>
          </cell>
          <cell r="F246">
            <v>284</v>
          </cell>
        </row>
        <row r="247">
          <cell r="C247">
            <v>0.79166666666666663</v>
          </cell>
          <cell r="F247">
            <v>268</v>
          </cell>
        </row>
        <row r="248">
          <cell r="C248">
            <v>0.79513888888888884</v>
          </cell>
          <cell r="F248">
            <v>261.60000000000002</v>
          </cell>
        </row>
        <row r="249">
          <cell r="C249">
            <v>0.79861111111111116</v>
          </cell>
          <cell r="F249">
            <v>268</v>
          </cell>
        </row>
        <row r="250">
          <cell r="C250">
            <v>0.80208333333333337</v>
          </cell>
          <cell r="F250">
            <v>266.8</v>
          </cell>
        </row>
        <row r="251">
          <cell r="C251">
            <v>0.80555555555555558</v>
          </cell>
          <cell r="F251">
            <v>258.39999999999998</v>
          </cell>
        </row>
        <row r="252">
          <cell r="C252">
            <v>0.80902777777777779</v>
          </cell>
          <cell r="F252">
            <v>290.8</v>
          </cell>
        </row>
        <row r="253">
          <cell r="C253">
            <v>0.8125</v>
          </cell>
          <cell r="F253">
            <v>275.7</v>
          </cell>
        </row>
        <row r="254">
          <cell r="C254">
            <v>0.81597222222222221</v>
          </cell>
          <cell r="F254">
            <v>239.3</v>
          </cell>
        </row>
        <row r="255">
          <cell r="C255">
            <v>0.81944444444444442</v>
          </cell>
          <cell r="F255">
            <v>254.8</v>
          </cell>
        </row>
        <row r="256">
          <cell r="C256">
            <v>0.82291666666666663</v>
          </cell>
          <cell r="F256">
            <v>279</v>
          </cell>
        </row>
        <row r="257">
          <cell r="C257">
            <v>0.82638888888888884</v>
          </cell>
          <cell r="F257">
            <v>273.7</v>
          </cell>
        </row>
        <row r="258">
          <cell r="C258">
            <v>0.82986111111111116</v>
          </cell>
          <cell r="F258">
            <v>275.10000000000002</v>
          </cell>
        </row>
        <row r="259">
          <cell r="C259">
            <v>0.83333333333333337</v>
          </cell>
          <cell r="F259">
            <v>286.10000000000002</v>
          </cell>
        </row>
        <row r="260">
          <cell r="C260">
            <v>0.83680555555555558</v>
          </cell>
          <cell r="F260">
            <v>301.8</v>
          </cell>
        </row>
        <row r="261">
          <cell r="C261">
            <v>0.84027777777777779</v>
          </cell>
          <cell r="F261">
            <v>269.89999999999998</v>
          </cell>
        </row>
        <row r="262">
          <cell r="C262">
            <v>0.84375</v>
          </cell>
          <cell r="F262">
            <v>273.39999999999998</v>
          </cell>
        </row>
        <row r="263">
          <cell r="C263">
            <v>0.84722222222222221</v>
          </cell>
          <cell r="F263">
            <v>244.3</v>
          </cell>
        </row>
        <row r="264">
          <cell r="C264">
            <v>0.85069444444444442</v>
          </cell>
          <cell r="F264">
            <v>258</v>
          </cell>
        </row>
        <row r="265">
          <cell r="C265">
            <v>0.85416666666666663</v>
          </cell>
          <cell r="F265">
            <v>271.2</v>
          </cell>
        </row>
        <row r="266">
          <cell r="C266">
            <v>0.85763888888888884</v>
          </cell>
          <cell r="F266">
            <v>289.60000000000002</v>
          </cell>
        </row>
        <row r="267">
          <cell r="C267">
            <v>0.86111111111111116</v>
          </cell>
          <cell r="F267">
            <v>281.7</v>
          </cell>
        </row>
        <row r="268">
          <cell r="C268">
            <v>0.86458333333333337</v>
          </cell>
          <cell r="F268">
            <v>267.3</v>
          </cell>
        </row>
        <row r="269">
          <cell r="C269">
            <v>0.86805555555555558</v>
          </cell>
          <cell r="F269">
            <v>260.8</v>
          </cell>
        </row>
        <row r="270">
          <cell r="C270">
            <v>0.87152777777777779</v>
          </cell>
          <cell r="F270">
            <v>260.10000000000002</v>
          </cell>
        </row>
        <row r="271">
          <cell r="C271">
            <v>0.875</v>
          </cell>
          <cell r="F271">
            <v>245.2</v>
          </cell>
        </row>
        <row r="272">
          <cell r="C272">
            <v>0.87847222222222221</v>
          </cell>
          <cell r="F272">
            <v>280.60000000000002</v>
          </cell>
        </row>
        <row r="273">
          <cell r="C273">
            <v>0.88194444444444442</v>
          </cell>
          <cell r="F273">
            <v>281.89999999999998</v>
          </cell>
        </row>
        <row r="274">
          <cell r="C274">
            <v>0.88541666666666663</v>
          </cell>
          <cell r="F274">
            <v>265.89999999999998</v>
          </cell>
        </row>
        <row r="275">
          <cell r="C275">
            <v>0.88888888888888884</v>
          </cell>
          <cell r="F275">
            <v>254.6</v>
          </cell>
        </row>
        <row r="276">
          <cell r="C276">
            <v>0.89236111111111116</v>
          </cell>
          <cell r="F276">
            <v>244.2</v>
          </cell>
        </row>
        <row r="277">
          <cell r="C277">
            <v>0.89583333333333337</v>
          </cell>
          <cell r="F277">
            <v>278.2</v>
          </cell>
        </row>
        <row r="278">
          <cell r="C278">
            <v>0.89930555555555558</v>
          </cell>
          <cell r="F278">
            <v>238.4</v>
          </cell>
        </row>
        <row r="279">
          <cell r="C279">
            <v>0.90277777777777779</v>
          </cell>
          <cell r="F279">
            <v>264.10000000000002</v>
          </cell>
        </row>
        <row r="280">
          <cell r="C280">
            <v>0.90625</v>
          </cell>
          <cell r="F280">
            <v>261.39999999999998</v>
          </cell>
        </row>
        <row r="281">
          <cell r="C281">
            <v>0.90972222222222221</v>
          </cell>
          <cell r="F281">
            <v>262</v>
          </cell>
        </row>
        <row r="282">
          <cell r="C282">
            <v>0.91319444444444442</v>
          </cell>
          <cell r="F282">
            <v>270.39999999999998</v>
          </cell>
        </row>
        <row r="283">
          <cell r="C283">
            <v>0.91666666666666663</v>
          </cell>
          <cell r="F283">
            <v>267.89999999999998</v>
          </cell>
        </row>
        <row r="284">
          <cell r="C284">
            <v>0.92013888888888884</v>
          </cell>
          <cell r="F284">
            <v>279.10000000000002</v>
          </cell>
        </row>
        <row r="285">
          <cell r="C285">
            <v>0.92361111111111116</v>
          </cell>
          <cell r="F285">
            <v>285.3</v>
          </cell>
        </row>
        <row r="286">
          <cell r="C286">
            <v>0.92708333333333337</v>
          </cell>
          <cell r="F286">
            <v>254.1</v>
          </cell>
        </row>
        <row r="287">
          <cell r="C287">
            <v>0.93055555555555558</v>
          </cell>
          <cell r="F287">
            <v>261.3</v>
          </cell>
        </row>
        <row r="288">
          <cell r="C288">
            <v>0.93402777777777779</v>
          </cell>
          <cell r="F288">
            <v>245.1</v>
          </cell>
        </row>
        <row r="289">
          <cell r="C289">
            <v>0.9375</v>
          </cell>
          <cell r="F289">
            <v>271.10000000000002</v>
          </cell>
        </row>
        <row r="290">
          <cell r="C290">
            <v>0.94097222222222221</v>
          </cell>
          <cell r="F290">
            <v>255.9</v>
          </cell>
        </row>
        <row r="291">
          <cell r="C291">
            <v>0.94444444444444442</v>
          </cell>
          <cell r="F291">
            <v>268.60000000000002</v>
          </cell>
        </row>
        <row r="292">
          <cell r="C292">
            <v>0.94791666666666663</v>
          </cell>
          <cell r="F292">
            <v>260</v>
          </cell>
        </row>
        <row r="293">
          <cell r="C293">
            <v>0.95138888888888884</v>
          </cell>
          <cell r="F293">
            <v>274.8</v>
          </cell>
        </row>
        <row r="294">
          <cell r="C294">
            <v>0.95486111111111116</v>
          </cell>
          <cell r="F294">
            <v>279.3</v>
          </cell>
        </row>
        <row r="295">
          <cell r="C295">
            <v>0.95833333333333337</v>
          </cell>
          <cell r="F295">
            <v>278.3</v>
          </cell>
        </row>
        <row r="296">
          <cell r="C296">
            <v>0.96180555555555558</v>
          </cell>
          <cell r="F296">
            <v>284.7</v>
          </cell>
        </row>
        <row r="297">
          <cell r="C297">
            <v>0.96527777777777779</v>
          </cell>
          <cell r="F297">
            <v>266.60000000000002</v>
          </cell>
        </row>
        <row r="298">
          <cell r="C298">
            <v>0.96875</v>
          </cell>
          <cell r="F298">
            <v>263.2</v>
          </cell>
        </row>
        <row r="299">
          <cell r="C299">
            <v>0.97222222222222221</v>
          </cell>
          <cell r="F299">
            <v>269.2</v>
          </cell>
        </row>
        <row r="300">
          <cell r="C300">
            <v>0.97569444444444442</v>
          </cell>
          <cell r="F300">
            <v>265.60000000000002</v>
          </cell>
        </row>
        <row r="301">
          <cell r="C301">
            <v>0.97916666666666663</v>
          </cell>
          <cell r="F301">
            <v>277.2</v>
          </cell>
        </row>
        <row r="302">
          <cell r="C302">
            <v>0.98263888888888884</v>
          </cell>
          <cell r="F302">
            <v>249</v>
          </cell>
        </row>
        <row r="303">
          <cell r="C303">
            <v>0.98611111111111116</v>
          </cell>
          <cell r="F303">
            <v>264.8</v>
          </cell>
        </row>
        <row r="304">
          <cell r="C304">
            <v>0.98958333333333337</v>
          </cell>
          <cell r="F304">
            <v>266.2</v>
          </cell>
        </row>
        <row r="305">
          <cell r="C305">
            <v>0.99305555555555558</v>
          </cell>
          <cell r="F305">
            <v>261.2</v>
          </cell>
        </row>
        <row r="306">
          <cell r="C306">
            <v>0.99652777777777779</v>
          </cell>
          <cell r="F306">
            <v>274.10000000000002</v>
          </cell>
        </row>
      </sheetData>
      <sheetData sheetId="1">
        <row r="20">
          <cell r="F20" t="str">
            <v>hmF1</v>
          </cell>
        </row>
        <row r="21">
          <cell r="C21">
            <v>0.53819444444444442</v>
          </cell>
          <cell r="F21">
            <v>164.5</v>
          </cell>
        </row>
        <row r="22">
          <cell r="C22">
            <v>0.56597222222222221</v>
          </cell>
          <cell r="F22">
            <v>174</v>
          </cell>
        </row>
        <row r="23">
          <cell r="C23">
            <v>0.58333333333333337</v>
          </cell>
          <cell r="F23">
            <v>150.80000000000001</v>
          </cell>
        </row>
        <row r="24">
          <cell r="C24">
            <v>0.61111111111111116</v>
          </cell>
          <cell r="F24">
            <v>163.80000000000001</v>
          </cell>
        </row>
        <row r="25">
          <cell r="C25">
            <v>0.61458333333333337</v>
          </cell>
          <cell r="F25">
            <v>160.9</v>
          </cell>
        </row>
        <row r="26">
          <cell r="C26">
            <v>0.61805555555555558</v>
          </cell>
          <cell r="F26">
            <v>156.1</v>
          </cell>
        </row>
        <row r="27">
          <cell r="C27">
            <v>0.625</v>
          </cell>
          <cell r="F27">
            <v>173.6</v>
          </cell>
        </row>
        <row r="28">
          <cell r="C28">
            <v>0.63194444444444442</v>
          </cell>
          <cell r="F28">
            <v>164.8</v>
          </cell>
        </row>
        <row r="29">
          <cell r="C29">
            <v>0.63541666666666663</v>
          </cell>
          <cell r="F29">
            <v>167.1</v>
          </cell>
        </row>
        <row r="30">
          <cell r="C30">
            <v>0.63888888888888884</v>
          </cell>
          <cell r="F30">
            <v>158.80000000000001</v>
          </cell>
        </row>
        <row r="31">
          <cell r="C31">
            <v>0.64236111111111116</v>
          </cell>
          <cell r="F31">
            <v>159.30000000000001</v>
          </cell>
        </row>
        <row r="32">
          <cell r="C32">
            <v>0.64583333333333337</v>
          </cell>
          <cell r="F32">
            <v>162.6</v>
          </cell>
        </row>
        <row r="33">
          <cell r="C33">
            <v>0.64930555555555558</v>
          </cell>
          <cell r="F33">
            <v>157.69999999999999</v>
          </cell>
        </row>
        <row r="34">
          <cell r="C34">
            <v>0.65277777777777779</v>
          </cell>
          <cell r="F34">
            <v>168.5</v>
          </cell>
        </row>
        <row r="35">
          <cell r="C35">
            <v>0.65625</v>
          </cell>
          <cell r="F35">
            <v>136.4</v>
          </cell>
        </row>
        <row r="36">
          <cell r="C36">
            <v>0.65972222222222221</v>
          </cell>
          <cell r="F36">
            <v>178.5</v>
          </cell>
        </row>
        <row r="37">
          <cell r="C37">
            <v>0.66319444444444442</v>
          </cell>
          <cell r="F37">
            <v>182.5</v>
          </cell>
        </row>
        <row r="38">
          <cell r="C38">
            <v>0.67013888888888884</v>
          </cell>
          <cell r="F38">
            <v>181.2</v>
          </cell>
        </row>
        <row r="39">
          <cell r="C39">
            <v>0.67361111111111116</v>
          </cell>
          <cell r="F39">
            <v>162.30000000000001</v>
          </cell>
        </row>
        <row r="40">
          <cell r="C40">
            <v>0.67708333333333337</v>
          </cell>
          <cell r="F40">
            <v>153.4</v>
          </cell>
        </row>
        <row r="41">
          <cell r="C41">
            <v>0.68055555555555558</v>
          </cell>
          <cell r="F41">
            <v>163.6</v>
          </cell>
        </row>
        <row r="42">
          <cell r="C42">
            <v>0.68402777777777779</v>
          </cell>
          <cell r="F42">
            <v>149.9</v>
          </cell>
        </row>
        <row r="43">
          <cell r="C43">
            <v>0.6875</v>
          </cell>
          <cell r="F43">
            <v>164.4</v>
          </cell>
        </row>
        <row r="44">
          <cell r="C44">
            <v>0.69097222222222221</v>
          </cell>
          <cell r="F44">
            <v>172.3</v>
          </cell>
        </row>
        <row r="45">
          <cell r="C45">
            <v>0.69444444444444442</v>
          </cell>
          <cell r="F45">
            <v>165.6</v>
          </cell>
        </row>
        <row r="46">
          <cell r="C46">
            <v>0.70138888888888884</v>
          </cell>
          <cell r="F46">
            <v>167.6</v>
          </cell>
        </row>
        <row r="47">
          <cell r="C47">
            <v>0.70486111111111116</v>
          </cell>
          <cell r="F47">
            <v>194</v>
          </cell>
        </row>
        <row r="48">
          <cell r="C48">
            <v>0.70833333333333337</v>
          </cell>
          <cell r="F48">
            <v>170.5</v>
          </cell>
        </row>
        <row r="49">
          <cell r="C49">
            <v>0.71180555555555558</v>
          </cell>
          <cell r="F49">
            <v>163.6</v>
          </cell>
        </row>
        <row r="50">
          <cell r="C50">
            <v>0.71527777777777779</v>
          </cell>
          <cell r="F50">
            <v>165.3</v>
          </cell>
        </row>
        <row r="51">
          <cell r="C51">
            <v>0.72222222222222221</v>
          </cell>
          <cell r="F51">
            <v>174.3</v>
          </cell>
        </row>
        <row r="52">
          <cell r="C52">
            <v>0.72569444444444442</v>
          </cell>
          <cell r="F52">
            <v>175</v>
          </cell>
        </row>
        <row r="53">
          <cell r="C53">
            <v>0.72916666666666663</v>
          </cell>
          <cell r="F53">
            <v>180.3</v>
          </cell>
        </row>
        <row r="54">
          <cell r="C54">
            <v>0.73263888888888884</v>
          </cell>
          <cell r="F54">
            <v>178.1</v>
          </cell>
        </row>
        <row r="55">
          <cell r="C55">
            <v>0.73611111111111116</v>
          </cell>
          <cell r="F55">
            <v>187.6</v>
          </cell>
        </row>
        <row r="56">
          <cell r="C56">
            <v>0.74305555555555558</v>
          </cell>
          <cell r="F56">
            <v>153.19999999999999</v>
          </cell>
        </row>
        <row r="57">
          <cell r="C57">
            <v>0.74652777777777779</v>
          </cell>
          <cell r="F57">
            <v>173.6</v>
          </cell>
        </row>
        <row r="58">
          <cell r="C58">
            <v>0.79861111111111116</v>
          </cell>
          <cell r="F58">
            <v>164.1</v>
          </cell>
        </row>
        <row r="59">
          <cell r="C59">
            <v>0.80208333333333337</v>
          </cell>
          <cell r="F59">
            <v>167.4</v>
          </cell>
        </row>
        <row r="60">
          <cell r="C60">
            <v>0.80902777777777779</v>
          </cell>
          <cell r="F60">
            <v>174.4</v>
          </cell>
        </row>
        <row r="61">
          <cell r="C61">
            <v>0.81597222222222221</v>
          </cell>
          <cell r="F61">
            <v>163.69999999999999</v>
          </cell>
        </row>
        <row r="62">
          <cell r="C62">
            <v>0.81944444444444442</v>
          </cell>
          <cell r="F62">
            <v>158</v>
          </cell>
        </row>
        <row r="63">
          <cell r="C63">
            <v>0.82291666666666663</v>
          </cell>
          <cell r="F63">
            <v>146.69999999999999</v>
          </cell>
        </row>
        <row r="64">
          <cell r="C64">
            <v>0.82638888888888884</v>
          </cell>
          <cell r="F64">
            <v>163.5</v>
          </cell>
        </row>
        <row r="65">
          <cell r="C65">
            <v>0.82986111111111116</v>
          </cell>
          <cell r="F65">
            <v>177.6</v>
          </cell>
        </row>
        <row r="66">
          <cell r="C66">
            <v>0.83333333333333337</v>
          </cell>
          <cell r="F66">
            <v>175.6</v>
          </cell>
        </row>
        <row r="67">
          <cell r="C67">
            <v>0.83680555555555558</v>
          </cell>
          <cell r="F67">
            <v>161.4</v>
          </cell>
        </row>
        <row r="68">
          <cell r="C68">
            <v>0.84027777777777779</v>
          </cell>
          <cell r="F68">
            <v>156.4</v>
          </cell>
        </row>
        <row r="69">
          <cell r="C69">
            <v>0.84375</v>
          </cell>
          <cell r="F69">
            <v>176.5</v>
          </cell>
        </row>
        <row r="70">
          <cell r="C70">
            <v>0.84722222222222221</v>
          </cell>
          <cell r="F70">
            <v>174.1</v>
          </cell>
        </row>
        <row r="71">
          <cell r="C71">
            <v>0.85069444444444442</v>
          </cell>
          <cell r="F71">
            <v>176.1</v>
          </cell>
        </row>
        <row r="72">
          <cell r="C72">
            <v>0.85416666666666663</v>
          </cell>
          <cell r="F72">
            <v>165.1</v>
          </cell>
        </row>
        <row r="73">
          <cell r="C73">
            <v>0.85763888888888884</v>
          </cell>
          <cell r="F73">
            <v>171.2</v>
          </cell>
        </row>
        <row r="74">
          <cell r="C74">
            <v>0.86111111111111116</v>
          </cell>
          <cell r="F74">
            <v>150.30000000000001</v>
          </cell>
        </row>
        <row r="75">
          <cell r="C75">
            <v>0.86458333333333337</v>
          </cell>
          <cell r="F75">
            <v>170.1</v>
          </cell>
        </row>
        <row r="76">
          <cell r="C76">
            <v>0.86805555555555558</v>
          </cell>
          <cell r="F76">
            <v>174.6</v>
          </cell>
        </row>
        <row r="77">
          <cell r="C77">
            <v>0.87152777777777779</v>
          </cell>
          <cell r="F77">
            <v>165</v>
          </cell>
        </row>
        <row r="78">
          <cell r="C78">
            <v>0.875</v>
          </cell>
          <cell r="F78">
            <v>165.6</v>
          </cell>
        </row>
        <row r="79">
          <cell r="C79">
            <v>0.87847222222222221</v>
          </cell>
          <cell r="F79">
            <v>180.3</v>
          </cell>
        </row>
        <row r="80">
          <cell r="C80">
            <v>0.88541666666666663</v>
          </cell>
          <cell r="F80">
            <v>173.6</v>
          </cell>
        </row>
        <row r="81">
          <cell r="C81">
            <v>0.89236111111111116</v>
          </cell>
          <cell r="F81">
            <v>159.1</v>
          </cell>
        </row>
        <row r="82">
          <cell r="C82">
            <v>0.89583333333333337</v>
          </cell>
          <cell r="F82">
            <v>186.7</v>
          </cell>
        </row>
        <row r="83">
          <cell r="C83">
            <v>0.89930555555555558</v>
          </cell>
          <cell r="F83">
            <v>159.30000000000001</v>
          </cell>
        </row>
        <row r="84">
          <cell r="C84">
            <v>0.90277777777777779</v>
          </cell>
          <cell r="F84">
            <v>143.69999999999999</v>
          </cell>
        </row>
        <row r="85">
          <cell r="C85">
            <v>0.90625</v>
          </cell>
          <cell r="F85">
            <v>174.2</v>
          </cell>
        </row>
        <row r="86">
          <cell r="C86">
            <v>0.90972222222222221</v>
          </cell>
          <cell r="F86">
            <v>163.4</v>
          </cell>
        </row>
        <row r="87">
          <cell r="C87">
            <v>0.91666666666666663</v>
          </cell>
          <cell r="F87">
            <v>168.4</v>
          </cell>
        </row>
        <row r="88">
          <cell r="C88">
            <v>0.92013888888888884</v>
          </cell>
          <cell r="F88">
            <v>166.2</v>
          </cell>
        </row>
        <row r="89">
          <cell r="C89">
            <v>0.92361111111111116</v>
          </cell>
          <cell r="F89">
            <v>168.5</v>
          </cell>
        </row>
        <row r="90">
          <cell r="C90">
            <v>0.92708333333333337</v>
          </cell>
          <cell r="F90">
            <v>153.19999999999999</v>
          </cell>
        </row>
        <row r="91">
          <cell r="C91">
            <v>0.93402777777777779</v>
          </cell>
          <cell r="F91">
            <v>163.19999999999999</v>
          </cell>
        </row>
        <row r="92">
          <cell r="C92">
            <v>0.9375</v>
          </cell>
          <cell r="F92">
            <v>148.6</v>
          </cell>
        </row>
        <row r="93">
          <cell r="C93">
            <v>0.94097222222222221</v>
          </cell>
          <cell r="F93">
            <v>178</v>
          </cell>
        </row>
      </sheetData>
      <sheetData sheetId="2">
        <row r="20">
          <cell r="F20" t="str">
            <v>hmE</v>
          </cell>
        </row>
        <row r="21">
          <cell r="C21">
            <v>0</v>
          </cell>
          <cell r="F21">
            <v>110</v>
          </cell>
        </row>
        <row r="22">
          <cell r="C22">
            <v>3.472222222222222E-3</v>
          </cell>
          <cell r="F22">
            <v>89.9</v>
          </cell>
        </row>
        <row r="23">
          <cell r="C23">
            <v>6.9444444444444441E-3</v>
          </cell>
          <cell r="F23">
            <v>110</v>
          </cell>
        </row>
        <row r="24">
          <cell r="C24">
            <v>1.0416666666666666E-2</v>
          </cell>
          <cell r="F24">
            <v>110</v>
          </cell>
        </row>
        <row r="25">
          <cell r="C25">
            <v>1.3888888888888888E-2</v>
          </cell>
          <cell r="F25">
            <v>110</v>
          </cell>
        </row>
        <row r="26">
          <cell r="C26">
            <v>1.7361111111111112E-2</v>
          </cell>
          <cell r="F26">
            <v>110</v>
          </cell>
        </row>
        <row r="27">
          <cell r="C27">
            <v>2.0833333333333332E-2</v>
          </cell>
          <cell r="F27">
            <v>110</v>
          </cell>
        </row>
        <row r="28">
          <cell r="C28">
            <v>2.4305555555555556E-2</v>
          </cell>
          <cell r="F28">
            <v>103</v>
          </cell>
        </row>
        <row r="29">
          <cell r="C29">
            <v>2.7777777777777776E-2</v>
          </cell>
          <cell r="F29">
            <v>111.9</v>
          </cell>
        </row>
        <row r="30">
          <cell r="C30">
            <v>3.125E-2</v>
          </cell>
          <cell r="F30">
            <v>109.6</v>
          </cell>
        </row>
        <row r="31">
          <cell r="C31">
            <v>3.4722222222222224E-2</v>
          </cell>
          <cell r="F31">
            <v>110</v>
          </cell>
        </row>
        <row r="32">
          <cell r="C32">
            <v>3.8194444444444448E-2</v>
          </cell>
        </row>
        <row r="33">
          <cell r="C33">
            <v>4.1666666666666664E-2</v>
          </cell>
        </row>
        <row r="34">
          <cell r="C34">
            <v>4.5138888888888888E-2</v>
          </cell>
        </row>
        <row r="35">
          <cell r="C35">
            <v>4.8611111111111112E-2</v>
          </cell>
        </row>
        <row r="36">
          <cell r="C36">
            <v>5.2083333333333336E-2</v>
          </cell>
        </row>
        <row r="37">
          <cell r="C37">
            <v>5.5555555555555552E-2</v>
          </cell>
        </row>
        <row r="38">
          <cell r="C38">
            <v>5.9027777777777776E-2</v>
          </cell>
        </row>
        <row r="39">
          <cell r="C39">
            <v>6.25E-2</v>
          </cell>
        </row>
        <row r="40">
          <cell r="C40">
            <v>6.5972222222222224E-2</v>
          </cell>
        </row>
        <row r="41">
          <cell r="C41">
            <v>6.9444444444444448E-2</v>
          </cell>
        </row>
        <row r="42">
          <cell r="C42">
            <v>7.2916666666666671E-2</v>
          </cell>
        </row>
        <row r="43">
          <cell r="C43">
            <v>7.6388888888888895E-2</v>
          </cell>
        </row>
        <row r="44">
          <cell r="C44">
            <v>7.9861111111111105E-2</v>
          </cell>
        </row>
        <row r="45">
          <cell r="C45">
            <v>8.3333333333333329E-2</v>
          </cell>
        </row>
        <row r="46">
          <cell r="C46">
            <v>8.6805555555555552E-2</v>
          </cell>
        </row>
        <row r="47">
          <cell r="C47">
            <v>9.0277777777777776E-2</v>
          </cell>
        </row>
        <row r="48">
          <cell r="C48">
            <v>9.375E-2</v>
          </cell>
        </row>
        <row r="49">
          <cell r="C49">
            <v>9.7222222222222224E-2</v>
          </cell>
        </row>
        <row r="50">
          <cell r="C50">
            <v>0.10069444444444445</v>
          </cell>
        </row>
        <row r="51">
          <cell r="C51">
            <v>0.10416666666666667</v>
          </cell>
        </row>
        <row r="52">
          <cell r="C52">
            <v>0.1076388888888889</v>
          </cell>
        </row>
        <row r="53">
          <cell r="C53">
            <v>0.1111111111111111</v>
          </cell>
        </row>
        <row r="54">
          <cell r="C54">
            <v>0.11458333333333333</v>
          </cell>
        </row>
        <row r="55">
          <cell r="C55">
            <v>0.11805555555555555</v>
          </cell>
        </row>
        <row r="56">
          <cell r="C56">
            <v>0.12152777777777778</v>
          </cell>
        </row>
        <row r="57">
          <cell r="C57">
            <v>0.125</v>
          </cell>
        </row>
        <row r="58">
          <cell r="C58">
            <v>0.12847222222222221</v>
          </cell>
        </row>
        <row r="59">
          <cell r="C59">
            <v>0.13194444444444445</v>
          </cell>
        </row>
        <row r="60">
          <cell r="C60">
            <v>0.13541666666666666</v>
          </cell>
        </row>
        <row r="61">
          <cell r="C61">
            <v>0.1388888888888889</v>
          </cell>
        </row>
        <row r="62">
          <cell r="C62">
            <v>0.1423611111111111</v>
          </cell>
        </row>
        <row r="63">
          <cell r="C63">
            <v>0.14583333333333334</v>
          </cell>
        </row>
        <row r="64">
          <cell r="C64">
            <v>0.14930555555555555</v>
          </cell>
        </row>
        <row r="65">
          <cell r="C65">
            <v>0.15277777777777779</v>
          </cell>
        </row>
        <row r="66">
          <cell r="C66">
            <v>0.15625</v>
          </cell>
        </row>
        <row r="67">
          <cell r="C67">
            <v>0.15972222222222221</v>
          </cell>
        </row>
        <row r="68">
          <cell r="C68">
            <v>0.16319444444444445</v>
          </cell>
        </row>
        <row r="69">
          <cell r="C69">
            <v>0.16666666666666666</v>
          </cell>
        </row>
        <row r="70">
          <cell r="C70">
            <v>0.1701388888888889</v>
          </cell>
        </row>
        <row r="71">
          <cell r="C71">
            <v>0.1736111111111111</v>
          </cell>
        </row>
        <row r="72">
          <cell r="C72">
            <v>0.17708333333333334</v>
          </cell>
        </row>
        <row r="73">
          <cell r="C73">
            <v>0.18055555555555555</v>
          </cell>
        </row>
        <row r="74">
          <cell r="C74">
            <v>0.18402777777777779</v>
          </cell>
        </row>
        <row r="75">
          <cell r="C75">
            <v>0.1875</v>
          </cell>
        </row>
        <row r="76">
          <cell r="C76">
            <v>0.19097222222222221</v>
          </cell>
        </row>
        <row r="77">
          <cell r="C77">
            <v>0.19444444444444445</v>
          </cell>
        </row>
        <row r="78">
          <cell r="C78">
            <v>0.19791666666666666</v>
          </cell>
        </row>
        <row r="79">
          <cell r="C79">
            <v>0.2013888888888889</v>
          </cell>
        </row>
        <row r="80">
          <cell r="C80">
            <v>0.2048611111111111</v>
          </cell>
        </row>
        <row r="81">
          <cell r="C81">
            <v>0.20833333333333334</v>
          </cell>
        </row>
        <row r="82">
          <cell r="C82">
            <v>0.21180555555555555</v>
          </cell>
        </row>
        <row r="83">
          <cell r="C83">
            <v>0.21527777777777779</v>
          </cell>
        </row>
        <row r="84">
          <cell r="C84">
            <v>0.21875</v>
          </cell>
        </row>
        <row r="85">
          <cell r="C85">
            <v>0.22222222222222221</v>
          </cell>
        </row>
        <row r="86">
          <cell r="C86">
            <v>0.22569444444444445</v>
          </cell>
        </row>
        <row r="87">
          <cell r="C87">
            <v>0.22916666666666666</v>
          </cell>
        </row>
        <row r="88">
          <cell r="C88">
            <v>0.2326388888888889</v>
          </cell>
        </row>
        <row r="89">
          <cell r="C89">
            <v>0.2361111111111111</v>
          </cell>
        </row>
        <row r="90">
          <cell r="C90">
            <v>0.23958333333333334</v>
          </cell>
        </row>
        <row r="91">
          <cell r="C91">
            <v>0.24305555555555555</v>
          </cell>
        </row>
        <row r="92">
          <cell r="C92">
            <v>0.24652777777777779</v>
          </cell>
        </row>
        <row r="93">
          <cell r="C93">
            <v>0.25</v>
          </cell>
        </row>
        <row r="94">
          <cell r="C94">
            <v>0.25347222222222221</v>
          </cell>
        </row>
        <row r="95">
          <cell r="C95">
            <v>0.25694444444444442</v>
          </cell>
        </row>
        <row r="96">
          <cell r="C96">
            <v>0.26041666666666669</v>
          </cell>
        </row>
        <row r="97">
          <cell r="C97">
            <v>0.2638888888888889</v>
          </cell>
        </row>
        <row r="98">
          <cell r="C98">
            <v>0.2673611111111111</v>
          </cell>
        </row>
        <row r="99">
          <cell r="C99">
            <v>0.27083333333333331</v>
          </cell>
        </row>
        <row r="100">
          <cell r="C100">
            <v>0.27430555555555558</v>
          </cell>
        </row>
        <row r="101">
          <cell r="C101">
            <v>0.27777777777777779</v>
          </cell>
        </row>
        <row r="102">
          <cell r="C102">
            <v>0.28125</v>
          </cell>
        </row>
        <row r="103">
          <cell r="C103">
            <v>0.28472222222222221</v>
          </cell>
        </row>
        <row r="104">
          <cell r="C104">
            <v>0.28819444444444442</v>
          </cell>
        </row>
        <row r="105">
          <cell r="C105">
            <v>0.29166666666666669</v>
          </cell>
        </row>
        <row r="106">
          <cell r="C106">
            <v>0.2951388888888889</v>
          </cell>
        </row>
        <row r="107">
          <cell r="C107">
            <v>0.2986111111111111</v>
          </cell>
        </row>
        <row r="108">
          <cell r="C108">
            <v>0.30208333333333331</v>
          </cell>
        </row>
        <row r="109">
          <cell r="C109">
            <v>0.30555555555555558</v>
          </cell>
        </row>
        <row r="110">
          <cell r="C110">
            <v>0.30902777777777779</v>
          </cell>
        </row>
        <row r="111">
          <cell r="C111">
            <v>0.3125</v>
          </cell>
        </row>
        <row r="112">
          <cell r="C112">
            <v>0.31597222222222221</v>
          </cell>
        </row>
        <row r="113">
          <cell r="C113">
            <v>0.31944444444444442</v>
          </cell>
        </row>
        <row r="114">
          <cell r="C114">
            <v>0.32291666666666669</v>
          </cell>
        </row>
        <row r="115">
          <cell r="C115">
            <v>0.3263888888888889</v>
          </cell>
        </row>
        <row r="116">
          <cell r="C116">
            <v>0.3298611111111111</v>
          </cell>
        </row>
        <row r="117">
          <cell r="C117">
            <v>0.33333333333333331</v>
          </cell>
        </row>
        <row r="118">
          <cell r="C118">
            <v>0.33680555555555558</v>
          </cell>
        </row>
        <row r="119">
          <cell r="C119">
            <v>0.34027777777777779</v>
          </cell>
        </row>
        <row r="120">
          <cell r="C120">
            <v>0.34375</v>
          </cell>
        </row>
        <row r="121">
          <cell r="C121">
            <v>0.34722222222222221</v>
          </cell>
        </row>
        <row r="122">
          <cell r="C122">
            <v>0.35069444444444442</v>
          </cell>
        </row>
        <row r="123">
          <cell r="C123">
            <v>0.35416666666666669</v>
          </cell>
        </row>
        <row r="124">
          <cell r="C124">
            <v>0.3576388888888889</v>
          </cell>
        </row>
        <row r="125">
          <cell r="C125">
            <v>0.3611111111111111</v>
          </cell>
        </row>
        <row r="126">
          <cell r="C126">
            <v>0.36458333333333331</v>
          </cell>
        </row>
        <row r="127">
          <cell r="C127">
            <v>0.36805555555555558</v>
          </cell>
        </row>
        <row r="128">
          <cell r="C128">
            <v>0.37152777777777779</v>
          </cell>
        </row>
        <row r="129">
          <cell r="C129">
            <v>0.375</v>
          </cell>
        </row>
        <row r="130">
          <cell r="C130">
            <v>0.37847222222222221</v>
          </cell>
        </row>
        <row r="131">
          <cell r="C131">
            <v>0.38194444444444442</v>
          </cell>
        </row>
        <row r="132">
          <cell r="C132">
            <v>0.38541666666666669</v>
          </cell>
        </row>
        <row r="133">
          <cell r="C133">
            <v>0.3888888888888889</v>
          </cell>
        </row>
        <row r="134">
          <cell r="C134">
            <v>0.3923611111111111</v>
          </cell>
        </row>
        <row r="135">
          <cell r="C135">
            <v>0.39583333333333331</v>
          </cell>
        </row>
        <row r="136">
          <cell r="C136">
            <v>0.39930555555555558</v>
          </cell>
        </row>
        <row r="137">
          <cell r="C137">
            <v>0.40277777777777779</v>
          </cell>
        </row>
        <row r="138">
          <cell r="C138">
            <v>0.40625</v>
          </cell>
        </row>
        <row r="139">
          <cell r="C139">
            <v>0.40972222222222221</v>
          </cell>
        </row>
        <row r="140">
          <cell r="C140">
            <v>0.41319444444444442</v>
          </cell>
        </row>
        <row r="141">
          <cell r="C141">
            <v>0.41666666666666669</v>
          </cell>
        </row>
        <row r="142">
          <cell r="C142">
            <v>0.4201388888888889</v>
          </cell>
        </row>
        <row r="143">
          <cell r="C143">
            <v>0.4236111111111111</v>
          </cell>
        </row>
        <row r="144">
          <cell r="C144">
            <v>0.42708333333333331</v>
          </cell>
        </row>
        <row r="145">
          <cell r="C145">
            <v>0.43055555555555558</v>
          </cell>
        </row>
        <row r="146">
          <cell r="C146">
            <v>0.43402777777777779</v>
          </cell>
        </row>
        <row r="147">
          <cell r="C147">
            <v>0.4375</v>
          </cell>
        </row>
        <row r="148">
          <cell r="C148">
            <v>0.44097222222222221</v>
          </cell>
        </row>
        <row r="149">
          <cell r="C149">
            <v>0.44444444444444442</v>
          </cell>
        </row>
        <row r="150">
          <cell r="C150">
            <v>0.44791666666666669</v>
          </cell>
        </row>
        <row r="151">
          <cell r="C151">
            <v>0.4513888888888889</v>
          </cell>
        </row>
        <row r="152">
          <cell r="C152">
            <v>0.4548611111111111</v>
          </cell>
        </row>
        <row r="153">
          <cell r="C153">
            <v>0.45833333333333331</v>
          </cell>
        </row>
        <row r="154">
          <cell r="C154">
            <v>0.46180555555555558</v>
          </cell>
        </row>
        <row r="155">
          <cell r="C155">
            <v>0.46527777777777779</v>
          </cell>
        </row>
        <row r="156">
          <cell r="C156">
            <v>0.46875</v>
          </cell>
        </row>
        <row r="157">
          <cell r="C157">
            <v>0.47222222222222221</v>
          </cell>
        </row>
        <row r="158">
          <cell r="C158">
            <v>0.47569444444444442</v>
          </cell>
        </row>
        <row r="159">
          <cell r="C159">
            <v>0.47916666666666669</v>
          </cell>
        </row>
        <row r="160">
          <cell r="C160">
            <v>0.4826388888888889</v>
          </cell>
        </row>
        <row r="161">
          <cell r="C161">
            <v>0.4861111111111111</v>
          </cell>
        </row>
        <row r="162">
          <cell r="C162">
            <v>0.48958333333333331</v>
          </cell>
        </row>
        <row r="163">
          <cell r="C163">
            <v>0.49305555555555558</v>
          </cell>
        </row>
        <row r="164">
          <cell r="C164">
            <v>0.49652777777777779</v>
          </cell>
        </row>
        <row r="165">
          <cell r="C165">
            <v>0.5</v>
          </cell>
        </row>
        <row r="166">
          <cell r="C166">
            <v>0.50347222222222221</v>
          </cell>
        </row>
        <row r="167">
          <cell r="C167">
            <v>0.50694444444444442</v>
          </cell>
        </row>
        <row r="168">
          <cell r="C168">
            <v>0.51041666666666663</v>
          </cell>
          <cell r="F168">
            <v>110</v>
          </cell>
        </row>
        <row r="169">
          <cell r="C169">
            <v>0.51388888888888884</v>
          </cell>
          <cell r="F169">
            <v>118.7</v>
          </cell>
        </row>
        <row r="170">
          <cell r="C170">
            <v>0.51736111111111116</v>
          </cell>
          <cell r="F170">
            <v>112.4</v>
          </cell>
        </row>
        <row r="171">
          <cell r="C171">
            <v>0.52083333333333337</v>
          </cell>
          <cell r="F171">
            <v>110</v>
          </cell>
        </row>
        <row r="172">
          <cell r="C172">
            <v>0.52430555555555558</v>
          </cell>
          <cell r="F172">
            <v>103.7</v>
          </cell>
        </row>
        <row r="173">
          <cell r="C173">
            <v>0.52777777777777779</v>
          </cell>
          <cell r="F173">
            <v>110</v>
          </cell>
        </row>
        <row r="174">
          <cell r="C174">
            <v>0.53125</v>
          </cell>
          <cell r="F174">
            <v>110</v>
          </cell>
        </row>
        <row r="175">
          <cell r="C175">
            <v>0.53472222222222221</v>
          </cell>
          <cell r="F175">
            <v>118.5</v>
          </cell>
        </row>
        <row r="176">
          <cell r="C176">
            <v>0.53819444444444442</v>
          </cell>
          <cell r="F176">
            <v>94.8</v>
          </cell>
        </row>
        <row r="177">
          <cell r="C177">
            <v>0.54166666666666663</v>
          </cell>
          <cell r="F177">
            <v>110</v>
          </cell>
        </row>
        <row r="178">
          <cell r="C178">
            <v>0.54513888888888884</v>
          </cell>
          <cell r="F178">
            <v>98.1</v>
          </cell>
        </row>
        <row r="179">
          <cell r="C179">
            <v>0.54861111111111116</v>
          </cell>
          <cell r="F179">
            <v>104.4</v>
          </cell>
        </row>
        <row r="180">
          <cell r="C180">
            <v>0.55208333333333337</v>
          </cell>
          <cell r="F180">
            <v>110</v>
          </cell>
        </row>
        <row r="181">
          <cell r="C181">
            <v>0.55555555555555558</v>
          </cell>
          <cell r="F181">
            <v>107.4</v>
          </cell>
        </row>
        <row r="182">
          <cell r="C182">
            <v>0.55902777777777779</v>
          </cell>
          <cell r="F182">
            <v>105.3</v>
          </cell>
        </row>
        <row r="183">
          <cell r="C183">
            <v>0.5625</v>
          </cell>
          <cell r="F183">
            <v>110</v>
          </cell>
        </row>
        <row r="184">
          <cell r="C184">
            <v>0.56597222222222221</v>
          </cell>
          <cell r="F184">
            <v>98.8</v>
          </cell>
        </row>
        <row r="185">
          <cell r="C185">
            <v>0.56944444444444442</v>
          </cell>
          <cell r="F185">
            <v>92.8</v>
          </cell>
        </row>
        <row r="186">
          <cell r="C186">
            <v>0.57291666666666663</v>
          </cell>
          <cell r="F186">
            <v>103.2</v>
          </cell>
        </row>
        <row r="187">
          <cell r="C187">
            <v>0.57638888888888884</v>
          </cell>
          <cell r="F187">
            <v>110</v>
          </cell>
        </row>
        <row r="188">
          <cell r="C188">
            <v>0.57986111111111116</v>
          </cell>
          <cell r="F188">
            <v>108.5</v>
          </cell>
        </row>
        <row r="189">
          <cell r="C189">
            <v>0.58333333333333337</v>
          </cell>
          <cell r="F189">
            <v>101.2</v>
          </cell>
        </row>
        <row r="190">
          <cell r="C190">
            <v>0.58680555555555558</v>
          </cell>
          <cell r="F190">
            <v>101</v>
          </cell>
        </row>
        <row r="191">
          <cell r="C191">
            <v>0.59027777777777779</v>
          </cell>
          <cell r="F191">
            <v>110</v>
          </cell>
        </row>
        <row r="192">
          <cell r="C192">
            <v>0.59375</v>
          </cell>
          <cell r="F192">
            <v>97.2</v>
          </cell>
        </row>
        <row r="193">
          <cell r="C193">
            <v>0.59722222222222221</v>
          </cell>
          <cell r="F193">
            <v>97.4</v>
          </cell>
        </row>
        <row r="194">
          <cell r="C194">
            <v>0.60069444444444442</v>
          </cell>
          <cell r="F194">
            <v>97.1</v>
          </cell>
        </row>
        <row r="195">
          <cell r="C195">
            <v>0.60416666666666663</v>
          </cell>
          <cell r="F195">
            <v>89.6</v>
          </cell>
        </row>
        <row r="196">
          <cell r="C196">
            <v>0.60763888888888884</v>
          </cell>
          <cell r="F196">
            <v>90.3</v>
          </cell>
        </row>
        <row r="197">
          <cell r="C197">
            <v>0.61111111111111116</v>
          </cell>
          <cell r="F197">
            <v>110</v>
          </cell>
        </row>
        <row r="198">
          <cell r="C198">
            <v>0.61458333333333337</v>
          </cell>
          <cell r="F198">
            <v>98.7</v>
          </cell>
        </row>
        <row r="199">
          <cell r="C199">
            <v>0.61805555555555558</v>
          </cell>
          <cell r="F199">
            <v>110</v>
          </cell>
        </row>
        <row r="200">
          <cell r="C200">
            <v>0.62152777777777779</v>
          </cell>
          <cell r="F200">
            <v>91.5</v>
          </cell>
        </row>
        <row r="201">
          <cell r="C201">
            <v>0.625</v>
          </cell>
          <cell r="F201">
            <v>88.5</v>
          </cell>
        </row>
        <row r="202">
          <cell r="C202">
            <v>0.62847222222222221</v>
          </cell>
          <cell r="F202">
            <v>90</v>
          </cell>
        </row>
        <row r="203">
          <cell r="C203">
            <v>0.63194444444444442</v>
          </cell>
          <cell r="F203">
            <v>102.3</v>
          </cell>
        </row>
        <row r="204">
          <cell r="C204">
            <v>0.63541666666666663</v>
          </cell>
          <cell r="F204">
            <v>97.7</v>
          </cell>
        </row>
        <row r="205">
          <cell r="C205">
            <v>0.63888888888888884</v>
          </cell>
          <cell r="F205">
            <v>89.8</v>
          </cell>
        </row>
        <row r="206">
          <cell r="C206">
            <v>0.64236111111111116</v>
          </cell>
          <cell r="F206">
            <v>110</v>
          </cell>
        </row>
        <row r="207">
          <cell r="C207">
            <v>0.64583333333333337</v>
          </cell>
          <cell r="F207">
            <v>100</v>
          </cell>
        </row>
        <row r="208">
          <cell r="C208">
            <v>0.64930555555555558</v>
          </cell>
          <cell r="F208">
            <v>90.8</v>
          </cell>
        </row>
        <row r="209">
          <cell r="C209">
            <v>0.65277777777777779</v>
          </cell>
          <cell r="F209">
            <v>93.8</v>
          </cell>
        </row>
        <row r="210">
          <cell r="C210">
            <v>0.65625</v>
          </cell>
          <cell r="F210">
            <v>93.1</v>
          </cell>
        </row>
        <row r="211">
          <cell r="C211">
            <v>0.65972222222222221</v>
          </cell>
          <cell r="F211">
            <v>110</v>
          </cell>
        </row>
        <row r="212">
          <cell r="C212">
            <v>0.66319444444444442</v>
          </cell>
          <cell r="F212">
            <v>107.2</v>
          </cell>
        </row>
        <row r="213">
          <cell r="C213">
            <v>0.66666666666666663</v>
          </cell>
          <cell r="F213">
            <v>110</v>
          </cell>
        </row>
        <row r="214">
          <cell r="C214">
            <v>0.67013888888888884</v>
          </cell>
          <cell r="F214">
            <v>119.1</v>
          </cell>
        </row>
        <row r="215">
          <cell r="C215">
            <v>0.67361111111111116</v>
          </cell>
          <cell r="F215">
            <v>97.2</v>
          </cell>
        </row>
        <row r="216">
          <cell r="C216">
            <v>0.67708333333333337</v>
          </cell>
          <cell r="F216">
            <v>97</v>
          </cell>
        </row>
        <row r="217">
          <cell r="C217">
            <v>0.68055555555555558</v>
          </cell>
          <cell r="F217">
            <v>101.5</v>
          </cell>
        </row>
        <row r="218">
          <cell r="C218">
            <v>0.68402777777777779</v>
          </cell>
          <cell r="F218">
            <v>100.8</v>
          </cell>
        </row>
        <row r="219">
          <cell r="C219">
            <v>0.6875</v>
          </cell>
          <cell r="F219">
            <v>108.4</v>
          </cell>
        </row>
        <row r="220">
          <cell r="C220">
            <v>0.69097222222222221</v>
          </cell>
          <cell r="F220">
            <v>110</v>
          </cell>
        </row>
        <row r="221">
          <cell r="C221">
            <v>0.69444444444444442</v>
          </cell>
          <cell r="F221">
            <v>110</v>
          </cell>
        </row>
        <row r="222">
          <cell r="C222">
            <v>0.69791666666666663</v>
          </cell>
          <cell r="F222">
            <v>110</v>
          </cell>
        </row>
        <row r="223">
          <cell r="C223">
            <v>0.70138888888888884</v>
          </cell>
          <cell r="F223">
            <v>101.1</v>
          </cell>
        </row>
        <row r="224">
          <cell r="C224">
            <v>0.70486111111111116</v>
          </cell>
          <cell r="F224">
            <v>110</v>
          </cell>
        </row>
        <row r="225">
          <cell r="C225">
            <v>0.70833333333333337</v>
          </cell>
          <cell r="F225">
            <v>103.4</v>
          </cell>
        </row>
        <row r="226">
          <cell r="C226">
            <v>0.71180555555555558</v>
          </cell>
          <cell r="F226">
            <v>96.5</v>
          </cell>
        </row>
        <row r="227">
          <cell r="C227">
            <v>0.71527777777777779</v>
          </cell>
          <cell r="F227">
            <v>110</v>
          </cell>
        </row>
        <row r="228">
          <cell r="C228">
            <v>0.71875</v>
          </cell>
          <cell r="F228">
            <v>120.5</v>
          </cell>
        </row>
        <row r="229">
          <cell r="C229">
            <v>0.72222222222222221</v>
          </cell>
          <cell r="F229">
            <v>110</v>
          </cell>
        </row>
        <row r="230">
          <cell r="C230">
            <v>0.72569444444444442</v>
          </cell>
          <cell r="F230">
            <v>110</v>
          </cell>
        </row>
        <row r="231">
          <cell r="C231">
            <v>0.72916666666666663</v>
          </cell>
          <cell r="F231">
            <v>101.2</v>
          </cell>
        </row>
        <row r="232">
          <cell r="C232">
            <v>0.73263888888888884</v>
          </cell>
          <cell r="F232">
            <v>111</v>
          </cell>
        </row>
        <row r="233">
          <cell r="C233">
            <v>0.73611111111111116</v>
          </cell>
          <cell r="F233">
            <v>110</v>
          </cell>
        </row>
        <row r="234">
          <cell r="C234">
            <v>0.73958333333333337</v>
          </cell>
          <cell r="F234">
            <v>110</v>
          </cell>
        </row>
        <row r="235">
          <cell r="C235">
            <v>0.74305555555555558</v>
          </cell>
          <cell r="F235">
            <v>110</v>
          </cell>
        </row>
        <row r="236">
          <cell r="C236">
            <v>0.74652777777777779</v>
          </cell>
          <cell r="F236">
            <v>110</v>
          </cell>
        </row>
        <row r="237">
          <cell r="C237">
            <v>0.75</v>
          </cell>
          <cell r="F237">
            <v>97.5</v>
          </cell>
        </row>
        <row r="238">
          <cell r="C238">
            <v>0.75347222222222221</v>
          </cell>
          <cell r="F238">
            <v>90.3</v>
          </cell>
        </row>
        <row r="239">
          <cell r="C239">
            <v>0.75694444444444442</v>
          </cell>
          <cell r="F239">
            <v>97.8</v>
          </cell>
        </row>
        <row r="240">
          <cell r="C240">
            <v>0.76041666666666663</v>
          </cell>
          <cell r="F240">
            <v>110</v>
          </cell>
        </row>
        <row r="241">
          <cell r="C241">
            <v>0.76388888888888884</v>
          </cell>
          <cell r="F241">
            <v>105.3</v>
          </cell>
        </row>
        <row r="242">
          <cell r="C242">
            <v>0.76736111111111116</v>
          </cell>
          <cell r="F242">
            <v>113.8</v>
          </cell>
        </row>
        <row r="243">
          <cell r="C243">
            <v>0.77083333333333337</v>
          </cell>
          <cell r="F243">
            <v>119.6</v>
          </cell>
        </row>
        <row r="244">
          <cell r="C244">
            <v>0.77430555555555558</v>
          </cell>
          <cell r="F244">
            <v>110</v>
          </cell>
        </row>
        <row r="245">
          <cell r="C245">
            <v>0.77777777777777779</v>
          </cell>
          <cell r="F245">
            <v>110</v>
          </cell>
        </row>
        <row r="246">
          <cell r="C246">
            <v>0.78125</v>
          </cell>
          <cell r="F246">
            <v>116.1</v>
          </cell>
        </row>
        <row r="247">
          <cell r="C247">
            <v>0.78472222222222221</v>
          </cell>
          <cell r="F247">
            <v>108.6</v>
          </cell>
        </row>
        <row r="248">
          <cell r="C248">
            <v>0.78819444444444442</v>
          </cell>
          <cell r="F248">
            <v>110</v>
          </cell>
        </row>
        <row r="249">
          <cell r="C249">
            <v>0.79166666666666663</v>
          </cell>
          <cell r="F249">
            <v>110</v>
          </cell>
        </row>
        <row r="250">
          <cell r="C250">
            <v>0.79513888888888884</v>
          </cell>
          <cell r="F250">
            <v>114.5</v>
          </cell>
        </row>
        <row r="251">
          <cell r="C251">
            <v>0.79861111111111116</v>
          </cell>
          <cell r="F251">
            <v>100.9</v>
          </cell>
        </row>
        <row r="252">
          <cell r="C252">
            <v>0.80208333333333337</v>
          </cell>
          <cell r="F252">
            <v>99.4</v>
          </cell>
        </row>
        <row r="253">
          <cell r="C253">
            <v>0.80555555555555558</v>
          </cell>
          <cell r="F253">
            <v>93.7</v>
          </cell>
        </row>
        <row r="254">
          <cell r="C254">
            <v>0.80902777777777779</v>
          </cell>
          <cell r="F254">
            <v>110</v>
          </cell>
        </row>
        <row r="255">
          <cell r="C255">
            <v>0.8125</v>
          </cell>
          <cell r="F255">
            <v>120.2</v>
          </cell>
        </row>
        <row r="256">
          <cell r="C256">
            <v>0.81597222222222221</v>
          </cell>
          <cell r="F256">
            <v>85.8</v>
          </cell>
        </row>
        <row r="257">
          <cell r="C257">
            <v>0.81944444444444442</v>
          </cell>
          <cell r="F257">
            <v>93.4</v>
          </cell>
        </row>
        <row r="258">
          <cell r="C258">
            <v>0.82291666666666663</v>
          </cell>
          <cell r="F258">
            <v>89.6</v>
          </cell>
        </row>
        <row r="259">
          <cell r="C259">
            <v>0.82638888888888884</v>
          </cell>
          <cell r="F259">
            <v>110</v>
          </cell>
        </row>
        <row r="260">
          <cell r="C260">
            <v>0.82986111111111116</v>
          </cell>
          <cell r="F260">
            <v>107.3</v>
          </cell>
        </row>
        <row r="261">
          <cell r="C261">
            <v>0.83333333333333337</v>
          </cell>
          <cell r="F261">
            <v>110</v>
          </cell>
        </row>
        <row r="262">
          <cell r="C262">
            <v>0.83680555555555558</v>
          </cell>
          <cell r="F262">
            <v>110</v>
          </cell>
        </row>
        <row r="263">
          <cell r="C263">
            <v>0.84027777777777779</v>
          </cell>
          <cell r="F263">
            <v>101.9</v>
          </cell>
        </row>
        <row r="264">
          <cell r="C264">
            <v>0.84375</v>
          </cell>
          <cell r="F264">
            <v>123.3</v>
          </cell>
        </row>
        <row r="265">
          <cell r="C265">
            <v>0.84722222222222221</v>
          </cell>
          <cell r="F265">
            <v>93.6</v>
          </cell>
        </row>
        <row r="266">
          <cell r="C266">
            <v>0.85069444444444442</v>
          </cell>
          <cell r="F266">
            <v>110</v>
          </cell>
        </row>
        <row r="267">
          <cell r="C267">
            <v>0.85416666666666663</v>
          </cell>
          <cell r="F267">
            <v>99.1</v>
          </cell>
        </row>
        <row r="268">
          <cell r="C268">
            <v>0.85763888888888884</v>
          </cell>
          <cell r="F268">
            <v>110</v>
          </cell>
        </row>
        <row r="269">
          <cell r="C269">
            <v>0.86111111111111116</v>
          </cell>
          <cell r="F269">
            <v>105.3</v>
          </cell>
        </row>
        <row r="270">
          <cell r="C270">
            <v>0.86458333333333337</v>
          </cell>
          <cell r="F270">
            <v>95.5</v>
          </cell>
        </row>
        <row r="271">
          <cell r="C271">
            <v>0.86805555555555558</v>
          </cell>
          <cell r="F271">
            <v>118.5</v>
          </cell>
        </row>
        <row r="272">
          <cell r="C272">
            <v>0.87152777777777779</v>
          </cell>
          <cell r="F272">
            <v>95.6</v>
          </cell>
        </row>
        <row r="273">
          <cell r="C273">
            <v>0.875</v>
          </cell>
          <cell r="F273">
            <v>110</v>
          </cell>
        </row>
        <row r="274">
          <cell r="C274">
            <v>0.87847222222222221</v>
          </cell>
          <cell r="F274">
            <v>110</v>
          </cell>
        </row>
        <row r="275">
          <cell r="C275">
            <v>0.88194444444444442</v>
          </cell>
          <cell r="F275">
            <v>108.6</v>
          </cell>
        </row>
        <row r="276">
          <cell r="C276">
            <v>0.88541666666666663</v>
          </cell>
          <cell r="F276">
            <v>101.6</v>
          </cell>
        </row>
        <row r="277">
          <cell r="C277">
            <v>0.88888888888888884</v>
          </cell>
          <cell r="F277">
            <v>93.3</v>
          </cell>
        </row>
        <row r="278">
          <cell r="C278">
            <v>0.89236111111111116</v>
          </cell>
          <cell r="F278">
            <v>102.5</v>
          </cell>
        </row>
        <row r="279">
          <cell r="C279">
            <v>0.89583333333333337</v>
          </cell>
          <cell r="F279">
            <v>110</v>
          </cell>
        </row>
        <row r="280">
          <cell r="C280">
            <v>0.89930555555555558</v>
          </cell>
          <cell r="F280">
            <v>85.7</v>
          </cell>
        </row>
        <row r="281">
          <cell r="C281">
            <v>0.90277777777777779</v>
          </cell>
          <cell r="F281">
            <v>102.8</v>
          </cell>
        </row>
        <row r="282">
          <cell r="C282">
            <v>0.90625</v>
          </cell>
          <cell r="F282">
            <v>106.6</v>
          </cell>
        </row>
        <row r="283">
          <cell r="C283">
            <v>0.90972222222222221</v>
          </cell>
          <cell r="F283">
            <v>110</v>
          </cell>
        </row>
        <row r="284">
          <cell r="C284">
            <v>0.91319444444444442</v>
          </cell>
          <cell r="F284">
            <v>90</v>
          </cell>
        </row>
        <row r="285">
          <cell r="C285">
            <v>0.91666666666666663</v>
          </cell>
          <cell r="F285">
            <v>110</v>
          </cell>
        </row>
        <row r="286">
          <cell r="C286">
            <v>0.92013888888888884</v>
          </cell>
          <cell r="F286">
            <v>101.1</v>
          </cell>
        </row>
        <row r="287">
          <cell r="C287">
            <v>0.92361111111111116</v>
          </cell>
          <cell r="F287">
            <v>108.6</v>
          </cell>
        </row>
        <row r="288">
          <cell r="C288">
            <v>0.92708333333333337</v>
          </cell>
          <cell r="F288">
            <v>108.4</v>
          </cell>
        </row>
        <row r="289">
          <cell r="C289">
            <v>0.93055555555555558</v>
          </cell>
          <cell r="F289">
            <v>98.4</v>
          </cell>
        </row>
        <row r="290">
          <cell r="C290">
            <v>0.93402777777777779</v>
          </cell>
          <cell r="F290">
            <v>93.7</v>
          </cell>
        </row>
        <row r="291">
          <cell r="C291">
            <v>0.9375</v>
          </cell>
          <cell r="F291">
            <v>94.3</v>
          </cell>
        </row>
        <row r="292">
          <cell r="C292">
            <v>0.94097222222222221</v>
          </cell>
          <cell r="F292">
            <v>110</v>
          </cell>
        </row>
        <row r="293">
          <cell r="C293">
            <v>0.94444444444444442</v>
          </cell>
          <cell r="F293">
            <v>97.4</v>
          </cell>
        </row>
        <row r="294">
          <cell r="C294">
            <v>0.94791666666666663</v>
          </cell>
          <cell r="F294">
            <v>101.9</v>
          </cell>
        </row>
        <row r="295">
          <cell r="C295">
            <v>0.95138888888888884</v>
          </cell>
          <cell r="F295">
            <v>110</v>
          </cell>
        </row>
        <row r="296">
          <cell r="C296">
            <v>0.95486111111111116</v>
          </cell>
          <cell r="F296">
            <v>110</v>
          </cell>
        </row>
        <row r="297">
          <cell r="C297">
            <v>0.95833333333333337</v>
          </cell>
          <cell r="F297">
            <v>98.7</v>
          </cell>
        </row>
        <row r="298">
          <cell r="C298">
            <v>0.96180555555555558</v>
          </cell>
          <cell r="F298">
            <v>110</v>
          </cell>
        </row>
        <row r="299">
          <cell r="C299">
            <v>0.96527777777777779</v>
          </cell>
          <cell r="F299">
            <v>102.1</v>
          </cell>
        </row>
        <row r="300">
          <cell r="C300">
            <v>0.96875</v>
          </cell>
          <cell r="F300">
            <v>93.8</v>
          </cell>
        </row>
        <row r="301">
          <cell r="C301">
            <v>0.97222222222222221</v>
          </cell>
          <cell r="F301">
            <v>99.9</v>
          </cell>
        </row>
        <row r="302">
          <cell r="C302">
            <v>0.97569444444444442</v>
          </cell>
          <cell r="F302">
            <v>106.5</v>
          </cell>
        </row>
        <row r="303">
          <cell r="C303">
            <v>0.97916666666666663</v>
          </cell>
          <cell r="F303">
            <v>94.8</v>
          </cell>
        </row>
        <row r="304">
          <cell r="C304">
            <v>0.98263888888888884</v>
          </cell>
          <cell r="F304">
            <v>113.9</v>
          </cell>
        </row>
        <row r="305">
          <cell r="C305">
            <v>0.98611111111111116</v>
          </cell>
          <cell r="F305">
            <v>98.1</v>
          </cell>
        </row>
        <row r="306">
          <cell r="C306">
            <v>0.98958333333333337</v>
          </cell>
          <cell r="F306">
            <v>108.2</v>
          </cell>
        </row>
        <row r="307">
          <cell r="C307">
            <v>0.99305555555555558</v>
          </cell>
          <cell r="F307">
            <v>98.8</v>
          </cell>
        </row>
        <row r="308">
          <cell r="C308">
            <v>0.99652777777777779</v>
          </cell>
          <cell r="F308">
            <v>110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1" xr16:uid="{78410ABD-ED69-A249-A619-3079DF08DE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0BE-C830-0042-A3A6-22845464EC11}">
  <dimension ref="A1:G135"/>
  <sheetViews>
    <sheetView workbookViewId="0">
      <selection activeCell="W30" sqref="W30"/>
    </sheetView>
  </sheetViews>
  <sheetFormatPr defaultColWidth="11.19921875" defaultRowHeight="15.6" x14ac:dyDescent="0.3"/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6</v>
      </c>
      <c r="G1" t="s">
        <v>10</v>
      </c>
    </row>
    <row r="2" spans="1:7" x14ac:dyDescent="0.3">
      <c r="A2" t="s">
        <v>1</v>
      </c>
      <c r="B2" t="s">
        <v>2</v>
      </c>
      <c r="C2" t="s">
        <v>2</v>
      </c>
      <c r="D2" t="s">
        <v>12</v>
      </c>
      <c r="E2" t="s">
        <v>7</v>
      </c>
      <c r="F2" t="s">
        <v>8</v>
      </c>
      <c r="G2" t="s">
        <v>9</v>
      </c>
    </row>
    <row r="3" spans="1:7" x14ac:dyDescent="0.3">
      <c r="A3" s="1">
        <v>0.59236111111111112</v>
      </c>
      <c r="B3">
        <v>0.42199999999999999</v>
      </c>
      <c r="C3">
        <v>1.8</v>
      </c>
      <c r="D3">
        <v>1.8</v>
      </c>
      <c r="E3">
        <v>7</v>
      </c>
      <c r="F3">
        <v>1.62</v>
      </c>
      <c r="G3">
        <f>142*F3+36.1</f>
        <v>266.14000000000004</v>
      </c>
    </row>
    <row r="4" spans="1:7" x14ac:dyDescent="0.3">
      <c r="A4" s="1">
        <v>0.59236111111111112</v>
      </c>
      <c r="B4">
        <v>0.42199999999999999</v>
      </c>
      <c r="C4">
        <v>1.8</v>
      </c>
      <c r="D4">
        <v>1.8</v>
      </c>
      <c r="E4">
        <v>7</v>
      </c>
      <c r="F4">
        <v>1.62</v>
      </c>
      <c r="G4">
        <f t="shared" ref="G4:G67" si="0">142*F4+36.1</f>
        <v>266.14000000000004</v>
      </c>
    </row>
    <row r="5" spans="1:7" x14ac:dyDescent="0.3">
      <c r="A5" s="1">
        <v>0.59236111111111112</v>
      </c>
      <c r="B5">
        <v>0.42399999999999999</v>
      </c>
      <c r="C5">
        <v>1.68</v>
      </c>
      <c r="D5">
        <v>1.88</v>
      </c>
      <c r="E5">
        <v>7</v>
      </c>
      <c r="F5">
        <v>1.62</v>
      </c>
      <c r="G5">
        <f t="shared" si="0"/>
        <v>266.14000000000004</v>
      </c>
    </row>
    <row r="6" spans="1:7" x14ac:dyDescent="0.3">
      <c r="A6" s="1">
        <v>0.59236111111111112</v>
      </c>
      <c r="B6">
        <v>0.42399999999999999</v>
      </c>
      <c r="C6">
        <v>2.08</v>
      </c>
      <c r="D6">
        <v>1.88</v>
      </c>
      <c r="E6">
        <v>7</v>
      </c>
      <c r="F6">
        <v>1.62</v>
      </c>
      <c r="G6">
        <f t="shared" si="0"/>
        <v>266.14000000000004</v>
      </c>
    </row>
    <row r="7" spans="1:7" x14ac:dyDescent="0.3">
      <c r="A7" s="1">
        <v>0.59930555555555554</v>
      </c>
      <c r="B7">
        <v>0.432</v>
      </c>
      <c r="C7">
        <v>1.97</v>
      </c>
      <c r="D7">
        <v>1.97</v>
      </c>
      <c r="E7">
        <v>6</v>
      </c>
      <c r="F7">
        <v>1.59</v>
      </c>
      <c r="G7">
        <f t="shared" si="0"/>
        <v>261.88</v>
      </c>
    </row>
    <row r="8" spans="1:7" x14ac:dyDescent="0.3">
      <c r="A8" s="1">
        <v>0.59930555555555554</v>
      </c>
      <c r="B8">
        <v>0.432</v>
      </c>
      <c r="C8">
        <v>1.97</v>
      </c>
      <c r="D8">
        <v>1.97</v>
      </c>
      <c r="E8">
        <v>6</v>
      </c>
      <c r="F8">
        <v>1.59</v>
      </c>
      <c r="G8">
        <f t="shared" si="0"/>
        <v>261.88</v>
      </c>
    </row>
    <row r="9" spans="1:7" x14ac:dyDescent="0.3">
      <c r="A9" s="1">
        <v>0.59930555555555554</v>
      </c>
      <c r="B9">
        <v>0.42799999999999999</v>
      </c>
      <c r="C9">
        <v>1.4</v>
      </c>
      <c r="D9">
        <v>1.64</v>
      </c>
      <c r="E9">
        <v>6</v>
      </c>
      <c r="F9">
        <v>1.59</v>
      </c>
      <c r="G9">
        <f t="shared" si="0"/>
        <v>261.88</v>
      </c>
    </row>
    <row r="10" spans="1:7" x14ac:dyDescent="0.3">
      <c r="A10" s="1">
        <v>0.59930555555555554</v>
      </c>
      <c r="B10">
        <v>0.42799999999999999</v>
      </c>
      <c r="C10">
        <v>1.88</v>
      </c>
      <c r="D10">
        <v>1.64</v>
      </c>
      <c r="E10">
        <v>6</v>
      </c>
      <c r="F10">
        <v>1.59</v>
      </c>
      <c r="G10">
        <f t="shared" si="0"/>
        <v>261.88</v>
      </c>
    </row>
    <row r="11" spans="1:7" x14ac:dyDescent="0.3">
      <c r="A11" s="1">
        <v>0.60624999999999996</v>
      </c>
      <c r="B11">
        <v>0.42199999999999999</v>
      </c>
      <c r="C11">
        <v>1.72</v>
      </c>
      <c r="D11">
        <v>1.88</v>
      </c>
      <c r="E11">
        <v>1</v>
      </c>
      <c r="F11">
        <v>1.72</v>
      </c>
      <c r="G11">
        <f t="shared" si="0"/>
        <v>280.34000000000003</v>
      </c>
    </row>
    <row r="12" spans="1:7" x14ac:dyDescent="0.3">
      <c r="A12" s="1">
        <v>0.60624999999999996</v>
      </c>
      <c r="B12">
        <v>0.42199999999999999</v>
      </c>
      <c r="C12">
        <v>2.04</v>
      </c>
      <c r="D12">
        <v>1.88</v>
      </c>
      <c r="E12">
        <v>1</v>
      </c>
      <c r="F12">
        <v>1.72</v>
      </c>
      <c r="G12">
        <f t="shared" si="0"/>
        <v>280.34000000000003</v>
      </c>
    </row>
    <row r="13" spans="1:7" x14ac:dyDescent="0.3">
      <c r="A13" s="1">
        <v>0.60624999999999996</v>
      </c>
      <c r="B13">
        <v>0.439</v>
      </c>
      <c r="C13">
        <v>1.98</v>
      </c>
      <c r="D13">
        <v>1.98</v>
      </c>
      <c r="E13">
        <v>1</v>
      </c>
      <c r="F13">
        <v>1.72</v>
      </c>
      <c r="G13">
        <f t="shared" si="0"/>
        <v>280.34000000000003</v>
      </c>
    </row>
    <row r="14" spans="1:7" x14ac:dyDescent="0.3">
      <c r="A14" s="1">
        <v>0.60624999999999996</v>
      </c>
      <c r="B14">
        <v>0.439</v>
      </c>
      <c r="C14">
        <v>1.98</v>
      </c>
      <c r="D14">
        <v>1.98</v>
      </c>
      <c r="E14">
        <v>1</v>
      </c>
      <c r="F14">
        <v>1.72</v>
      </c>
      <c r="G14">
        <f t="shared" si="0"/>
        <v>280.34000000000003</v>
      </c>
    </row>
    <row r="15" spans="1:7" x14ac:dyDescent="0.3">
      <c r="A15" s="1">
        <v>0.61319444444444449</v>
      </c>
      <c r="B15">
        <v>0.42499999999999999</v>
      </c>
      <c r="C15">
        <v>1.69</v>
      </c>
      <c r="D15">
        <v>1.87</v>
      </c>
      <c r="E15">
        <v>1</v>
      </c>
      <c r="F15">
        <v>1.88</v>
      </c>
      <c r="G15">
        <f t="shared" si="0"/>
        <v>303.06</v>
      </c>
    </row>
    <row r="16" spans="1:7" x14ac:dyDescent="0.3">
      <c r="A16" s="1">
        <v>0.61319444444444449</v>
      </c>
      <c r="B16">
        <v>0.42499999999999999</v>
      </c>
      <c r="C16">
        <v>2.0499999999999998</v>
      </c>
      <c r="D16">
        <v>1.87</v>
      </c>
      <c r="E16">
        <v>1</v>
      </c>
      <c r="F16">
        <v>1.88</v>
      </c>
      <c r="G16">
        <f t="shared" si="0"/>
        <v>303.06</v>
      </c>
    </row>
    <row r="17" spans="1:7" x14ac:dyDescent="0.3">
      <c r="A17" s="1">
        <v>0.61319444444444449</v>
      </c>
      <c r="B17">
        <v>0.42799999999999999</v>
      </c>
      <c r="C17">
        <v>2.02</v>
      </c>
      <c r="D17">
        <v>2.02</v>
      </c>
      <c r="E17">
        <v>1</v>
      </c>
      <c r="F17">
        <v>1.88</v>
      </c>
      <c r="G17">
        <f t="shared" si="0"/>
        <v>303.06</v>
      </c>
    </row>
    <row r="18" spans="1:7" x14ac:dyDescent="0.3">
      <c r="A18" s="1">
        <v>0.61319444444444449</v>
      </c>
      <c r="B18">
        <v>0.42799999999999999</v>
      </c>
      <c r="C18">
        <v>2.02</v>
      </c>
      <c r="D18">
        <v>2.02</v>
      </c>
      <c r="E18">
        <v>1</v>
      </c>
      <c r="F18">
        <v>1.88</v>
      </c>
      <c r="G18">
        <f t="shared" si="0"/>
        <v>303.06</v>
      </c>
    </row>
    <row r="19" spans="1:7" x14ac:dyDescent="0.3">
      <c r="A19" s="1">
        <v>0.62083333333333335</v>
      </c>
      <c r="B19">
        <v>0.42299999999999999</v>
      </c>
      <c r="C19">
        <v>1.95</v>
      </c>
      <c r="D19">
        <v>1.95</v>
      </c>
      <c r="E19">
        <v>10</v>
      </c>
      <c r="F19">
        <v>1.89</v>
      </c>
      <c r="G19">
        <f t="shared" si="0"/>
        <v>304.48</v>
      </c>
    </row>
    <row r="20" spans="1:7" x14ac:dyDescent="0.3">
      <c r="A20" s="1">
        <v>0.62083333333333335</v>
      </c>
      <c r="B20">
        <v>0.42299999999999999</v>
      </c>
      <c r="C20">
        <v>1.95</v>
      </c>
      <c r="D20">
        <v>1.95</v>
      </c>
      <c r="E20">
        <v>10</v>
      </c>
      <c r="F20">
        <v>1.89</v>
      </c>
      <c r="G20">
        <f t="shared" si="0"/>
        <v>304.48</v>
      </c>
    </row>
    <row r="21" spans="1:7" x14ac:dyDescent="0.3">
      <c r="A21" s="1">
        <v>0.62083333333333335</v>
      </c>
      <c r="B21">
        <v>0.432</v>
      </c>
      <c r="C21">
        <v>1.7</v>
      </c>
      <c r="D21">
        <v>1.92</v>
      </c>
      <c r="E21">
        <v>10</v>
      </c>
      <c r="F21">
        <v>1.89</v>
      </c>
      <c r="G21">
        <f t="shared" si="0"/>
        <v>304.48</v>
      </c>
    </row>
    <row r="22" spans="1:7" x14ac:dyDescent="0.3">
      <c r="A22" s="1">
        <v>0.62083333333333335</v>
      </c>
      <c r="B22">
        <v>0.432</v>
      </c>
      <c r="C22">
        <v>1.7</v>
      </c>
      <c r="D22">
        <v>1.92</v>
      </c>
      <c r="E22">
        <v>10</v>
      </c>
      <c r="F22">
        <v>1.89</v>
      </c>
      <c r="G22">
        <f t="shared" si="0"/>
        <v>304.48</v>
      </c>
    </row>
    <row r="23" spans="1:7" x14ac:dyDescent="0.3">
      <c r="A23" s="1">
        <v>0.62708333333333333</v>
      </c>
      <c r="B23">
        <v>0.42899999999999999</v>
      </c>
      <c r="C23">
        <v>2.0099999999999998</v>
      </c>
      <c r="D23">
        <v>2.0099999999999998</v>
      </c>
      <c r="E23">
        <v>7</v>
      </c>
      <c r="F23">
        <v>1.82</v>
      </c>
      <c r="G23">
        <f t="shared" si="0"/>
        <v>294.54000000000002</v>
      </c>
    </row>
    <row r="24" spans="1:7" x14ac:dyDescent="0.3">
      <c r="A24" s="1">
        <v>0.62708333333333333</v>
      </c>
      <c r="B24">
        <v>0.42899999999999999</v>
      </c>
      <c r="C24">
        <v>2.0099999999999998</v>
      </c>
      <c r="D24">
        <v>2.0099999999999998</v>
      </c>
      <c r="E24">
        <v>7</v>
      </c>
      <c r="F24">
        <v>1.82</v>
      </c>
      <c r="G24">
        <f t="shared" si="0"/>
        <v>294.54000000000002</v>
      </c>
    </row>
    <row r="25" spans="1:7" x14ac:dyDescent="0.3">
      <c r="A25" s="1">
        <v>0.62708333333333333</v>
      </c>
      <c r="B25">
        <v>0.42799999999999999</v>
      </c>
      <c r="C25">
        <v>2.0299999999999998</v>
      </c>
      <c r="D25">
        <v>2.0299999999999998</v>
      </c>
      <c r="E25">
        <v>7</v>
      </c>
      <c r="F25">
        <v>1.82</v>
      </c>
      <c r="G25">
        <f t="shared" si="0"/>
        <v>294.54000000000002</v>
      </c>
    </row>
    <row r="26" spans="1:7" x14ac:dyDescent="0.3">
      <c r="A26" s="1">
        <v>0.62708333333333333</v>
      </c>
      <c r="B26">
        <v>0.42799999999999999</v>
      </c>
      <c r="C26">
        <v>2.0299999999999998</v>
      </c>
      <c r="D26">
        <v>2.0299999999999998</v>
      </c>
      <c r="E26">
        <v>7</v>
      </c>
      <c r="F26">
        <v>1.82</v>
      </c>
      <c r="G26">
        <f t="shared" si="0"/>
        <v>294.54000000000002</v>
      </c>
    </row>
    <row r="27" spans="1:7" x14ac:dyDescent="0.3">
      <c r="A27" s="1">
        <v>0.63402777777777775</v>
      </c>
      <c r="B27">
        <v>0.435</v>
      </c>
      <c r="C27">
        <v>1.71</v>
      </c>
      <c r="D27">
        <v>1.89</v>
      </c>
      <c r="E27">
        <v>3</v>
      </c>
      <c r="F27">
        <v>1.9</v>
      </c>
      <c r="G27">
        <f t="shared" si="0"/>
        <v>305.90000000000003</v>
      </c>
    </row>
    <row r="28" spans="1:7" x14ac:dyDescent="0.3">
      <c r="A28" s="1">
        <v>0.63402777777777775</v>
      </c>
      <c r="B28">
        <v>0.435</v>
      </c>
      <c r="C28">
        <v>2.0699999999999998</v>
      </c>
      <c r="D28">
        <v>1.89</v>
      </c>
      <c r="E28">
        <v>3</v>
      </c>
      <c r="F28">
        <v>1.9</v>
      </c>
      <c r="G28">
        <f t="shared" si="0"/>
        <v>305.90000000000003</v>
      </c>
    </row>
    <row r="29" spans="1:7" x14ac:dyDescent="0.3">
      <c r="A29" s="1">
        <v>0.63402777777777775</v>
      </c>
      <c r="B29">
        <v>0.41399999999999998</v>
      </c>
      <c r="C29">
        <v>1.63</v>
      </c>
      <c r="D29">
        <v>1.89</v>
      </c>
      <c r="E29">
        <v>3</v>
      </c>
      <c r="F29">
        <v>1.9</v>
      </c>
      <c r="G29">
        <f t="shared" si="0"/>
        <v>305.90000000000003</v>
      </c>
    </row>
    <row r="30" spans="1:7" x14ac:dyDescent="0.3">
      <c r="A30" s="1">
        <v>0.63402777777777775</v>
      </c>
      <c r="B30">
        <v>0.41399999999999998</v>
      </c>
      <c r="C30">
        <v>2.02</v>
      </c>
      <c r="D30">
        <v>1.89</v>
      </c>
      <c r="E30">
        <v>3</v>
      </c>
      <c r="F30">
        <v>1.9</v>
      </c>
      <c r="G30">
        <f t="shared" si="0"/>
        <v>305.90000000000003</v>
      </c>
    </row>
    <row r="31" spans="1:7" x14ac:dyDescent="0.3">
      <c r="A31" s="1">
        <v>0.64097222222222228</v>
      </c>
      <c r="B31">
        <v>0.44</v>
      </c>
      <c r="C31">
        <v>1.75</v>
      </c>
      <c r="D31">
        <v>1.89</v>
      </c>
      <c r="E31">
        <v>4</v>
      </c>
      <c r="F31">
        <v>1.96</v>
      </c>
      <c r="G31">
        <f t="shared" si="0"/>
        <v>314.42</v>
      </c>
    </row>
    <row r="32" spans="1:7" x14ac:dyDescent="0.3">
      <c r="A32" s="1">
        <v>0.64097222222222228</v>
      </c>
      <c r="B32">
        <v>0.44</v>
      </c>
      <c r="C32">
        <v>2.02</v>
      </c>
      <c r="D32">
        <v>1.89</v>
      </c>
      <c r="E32">
        <v>4</v>
      </c>
      <c r="F32">
        <v>1.96</v>
      </c>
      <c r="G32">
        <f t="shared" si="0"/>
        <v>314.42</v>
      </c>
    </row>
    <row r="33" spans="1:7" x14ac:dyDescent="0.3">
      <c r="A33" s="1">
        <v>0.64097222222222228</v>
      </c>
      <c r="B33">
        <v>0.41899999999999998</v>
      </c>
      <c r="C33">
        <v>1.7</v>
      </c>
      <c r="D33">
        <v>1.89</v>
      </c>
      <c r="E33">
        <v>4</v>
      </c>
      <c r="F33">
        <v>1.96</v>
      </c>
      <c r="G33">
        <f t="shared" si="0"/>
        <v>314.42</v>
      </c>
    </row>
    <row r="34" spans="1:7" x14ac:dyDescent="0.3">
      <c r="A34" s="1">
        <v>0.64097222222222228</v>
      </c>
      <c r="B34">
        <v>0.41899999999999998</v>
      </c>
      <c r="C34">
        <v>2.0699999999999998</v>
      </c>
      <c r="D34">
        <v>1.89</v>
      </c>
      <c r="E34">
        <v>4</v>
      </c>
      <c r="F34">
        <v>1.96</v>
      </c>
      <c r="G34">
        <f t="shared" si="0"/>
        <v>314.42</v>
      </c>
    </row>
    <row r="35" spans="1:7" x14ac:dyDescent="0.3">
      <c r="A35" s="1">
        <v>0.6479166666666667</v>
      </c>
      <c r="B35">
        <v>0.42899999999999999</v>
      </c>
      <c r="C35">
        <v>2.02</v>
      </c>
      <c r="D35">
        <v>2.02</v>
      </c>
      <c r="E35">
        <v>6</v>
      </c>
      <c r="F35">
        <v>1.95</v>
      </c>
      <c r="G35">
        <f t="shared" si="0"/>
        <v>313</v>
      </c>
    </row>
    <row r="36" spans="1:7" x14ac:dyDescent="0.3">
      <c r="A36" s="1">
        <v>0.6479166666666667</v>
      </c>
      <c r="B36">
        <v>0.42899999999999999</v>
      </c>
      <c r="C36">
        <v>2.02</v>
      </c>
      <c r="D36">
        <v>2.02</v>
      </c>
      <c r="E36">
        <v>6</v>
      </c>
      <c r="F36">
        <v>1.95</v>
      </c>
      <c r="G36">
        <f t="shared" si="0"/>
        <v>313</v>
      </c>
    </row>
    <row r="37" spans="1:7" x14ac:dyDescent="0.3">
      <c r="A37" s="1">
        <v>0.6479166666666667</v>
      </c>
      <c r="B37">
        <v>0.42899999999999999</v>
      </c>
      <c r="C37">
        <v>2.02</v>
      </c>
      <c r="D37">
        <v>2.02</v>
      </c>
      <c r="E37">
        <v>6</v>
      </c>
      <c r="F37">
        <v>1.95</v>
      </c>
      <c r="G37">
        <f t="shared" si="0"/>
        <v>313</v>
      </c>
    </row>
    <row r="38" spans="1:7" x14ac:dyDescent="0.3">
      <c r="A38" s="1">
        <v>0.6479166666666667</v>
      </c>
      <c r="B38">
        <v>0.42899999999999999</v>
      </c>
      <c r="C38">
        <v>2.02</v>
      </c>
      <c r="D38">
        <v>2.02</v>
      </c>
      <c r="E38">
        <v>6</v>
      </c>
      <c r="F38">
        <v>1.95</v>
      </c>
      <c r="G38">
        <f t="shared" si="0"/>
        <v>313</v>
      </c>
    </row>
    <row r="39" spans="1:7" x14ac:dyDescent="0.3">
      <c r="A39" s="1">
        <v>0.65486111111111112</v>
      </c>
      <c r="B39">
        <v>0.42799999999999999</v>
      </c>
      <c r="C39">
        <v>2.0099999999999998</v>
      </c>
      <c r="D39">
        <v>2.0099999999999998</v>
      </c>
      <c r="E39">
        <v>6</v>
      </c>
      <c r="F39">
        <v>1.89</v>
      </c>
      <c r="G39">
        <f t="shared" si="0"/>
        <v>304.48</v>
      </c>
    </row>
    <row r="40" spans="1:7" x14ac:dyDescent="0.3">
      <c r="A40" s="1">
        <v>0.65486111111111112</v>
      </c>
      <c r="B40">
        <v>0.42799999999999999</v>
      </c>
      <c r="C40">
        <v>2.0099999999999998</v>
      </c>
      <c r="D40">
        <v>2.0099999999999998</v>
      </c>
      <c r="E40">
        <v>6</v>
      </c>
      <c r="F40">
        <v>1.89</v>
      </c>
      <c r="G40">
        <f t="shared" si="0"/>
        <v>304.48</v>
      </c>
    </row>
    <row r="41" spans="1:7" x14ac:dyDescent="0.3">
      <c r="A41" s="1">
        <v>0.65486111111111112</v>
      </c>
      <c r="B41">
        <v>0.42599999999999999</v>
      </c>
      <c r="C41">
        <v>1.69</v>
      </c>
      <c r="D41">
        <v>1.86</v>
      </c>
      <c r="E41">
        <v>6</v>
      </c>
      <c r="F41">
        <v>1.89</v>
      </c>
      <c r="G41">
        <f t="shared" si="0"/>
        <v>304.48</v>
      </c>
    </row>
    <row r="42" spans="1:7" x14ac:dyDescent="0.3">
      <c r="A42" s="1">
        <v>0.65486111111111112</v>
      </c>
      <c r="B42">
        <v>0.42599999999999999</v>
      </c>
      <c r="C42">
        <v>2.02</v>
      </c>
      <c r="D42">
        <v>1.86</v>
      </c>
      <c r="E42">
        <v>6</v>
      </c>
      <c r="F42">
        <v>1.89</v>
      </c>
      <c r="G42">
        <f t="shared" si="0"/>
        <v>304.48</v>
      </c>
    </row>
    <row r="43" spans="1:7" x14ac:dyDescent="0.3">
      <c r="A43" s="1">
        <v>0.66180555555555554</v>
      </c>
      <c r="B43">
        <v>0.42599999999999999</v>
      </c>
      <c r="C43">
        <v>1.73</v>
      </c>
      <c r="D43">
        <v>1.91</v>
      </c>
      <c r="E43">
        <v>1</v>
      </c>
      <c r="F43">
        <v>1.96</v>
      </c>
      <c r="G43">
        <f t="shared" si="0"/>
        <v>314.42</v>
      </c>
    </row>
    <row r="44" spans="1:7" x14ac:dyDescent="0.3">
      <c r="A44" s="1">
        <v>0.66180555555555554</v>
      </c>
      <c r="B44">
        <v>0.42599999999999999</v>
      </c>
      <c r="C44">
        <v>2.08</v>
      </c>
      <c r="D44">
        <v>1.91</v>
      </c>
      <c r="E44">
        <v>1</v>
      </c>
      <c r="F44">
        <v>1.96</v>
      </c>
      <c r="G44">
        <f t="shared" si="0"/>
        <v>314.42</v>
      </c>
    </row>
    <row r="45" spans="1:7" x14ac:dyDescent="0.3">
      <c r="A45" s="1">
        <v>0.66180555555555554</v>
      </c>
      <c r="B45">
        <v>0.42299999999999999</v>
      </c>
      <c r="C45">
        <v>1.7</v>
      </c>
      <c r="D45">
        <v>1.89</v>
      </c>
      <c r="E45">
        <v>1</v>
      </c>
      <c r="F45">
        <v>1.96</v>
      </c>
      <c r="G45">
        <f t="shared" si="0"/>
        <v>314.42</v>
      </c>
    </row>
    <row r="46" spans="1:7" x14ac:dyDescent="0.3">
      <c r="A46" s="1">
        <v>0.66180555555555554</v>
      </c>
      <c r="B46">
        <v>0.42299999999999999</v>
      </c>
      <c r="C46">
        <v>2.0699999999999998</v>
      </c>
      <c r="D46">
        <v>1.89</v>
      </c>
      <c r="E46">
        <v>1</v>
      </c>
      <c r="F46">
        <v>1.96</v>
      </c>
      <c r="G46">
        <f t="shared" si="0"/>
        <v>314.42</v>
      </c>
    </row>
    <row r="47" spans="1:7" x14ac:dyDescent="0.3">
      <c r="A47" s="1">
        <v>0.66874999999999996</v>
      </c>
      <c r="B47">
        <v>0.42299999999999999</v>
      </c>
      <c r="C47">
        <v>1.72</v>
      </c>
      <c r="D47">
        <v>1.93</v>
      </c>
      <c r="E47">
        <v>1</v>
      </c>
      <c r="F47">
        <v>1.94</v>
      </c>
      <c r="G47">
        <f>142*F48+36.1</f>
        <v>311.58000000000004</v>
      </c>
    </row>
    <row r="48" spans="1:7" x14ac:dyDescent="0.3">
      <c r="A48" s="1">
        <v>0.66874999999999996</v>
      </c>
      <c r="B48">
        <v>0.42299999999999999</v>
      </c>
      <c r="C48">
        <v>2.14</v>
      </c>
      <c r="D48">
        <v>1.93</v>
      </c>
      <c r="E48">
        <v>1</v>
      </c>
      <c r="F48">
        <v>1.94</v>
      </c>
      <c r="G48">
        <f>142*F49+36.1</f>
        <v>311.58000000000004</v>
      </c>
    </row>
    <row r="49" spans="1:7" x14ac:dyDescent="0.3">
      <c r="A49" s="1">
        <v>0.66874999999999996</v>
      </c>
      <c r="B49">
        <v>0.42799999999999999</v>
      </c>
      <c r="C49">
        <v>1.61</v>
      </c>
      <c r="D49">
        <v>1.61</v>
      </c>
      <c r="E49">
        <v>1</v>
      </c>
      <c r="F49">
        <v>1.94</v>
      </c>
      <c r="G49">
        <f t="shared" si="0"/>
        <v>311.58000000000004</v>
      </c>
    </row>
    <row r="50" spans="1:7" x14ac:dyDescent="0.3">
      <c r="A50" s="1">
        <v>0.66874999999999996</v>
      </c>
      <c r="B50">
        <v>0.42799999999999999</v>
      </c>
      <c r="C50">
        <v>1.61</v>
      </c>
      <c r="D50">
        <v>1.61</v>
      </c>
      <c r="E50">
        <v>1</v>
      </c>
      <c r="F50">
        <v>1.94</v>
      </c>
      <c r="G50">
        <f t="shared" si="0"/>
        <v>311.58000000000004</v>
      </c>
    </row>
    <row r="51" spans="1:7" x14ac:dyDescent="0.3">
      <c r="A51" s="1">
        <v>0.67569444444444449</v>
      </c>
      <c r="B51">
        <v>0.42799999999999999</v>
      </c>
      <c r="C51">
        <v>1.97</v>
      </c>
      <c r="D51">
        <v>1.97</v>
      </c>
      <c r="E51">
        <v>4</v>
      </c>
      <c r="F51">
        <v>2.02</v>
      </c>
      <c r="G51">
        <f t="shared" si="0"/>
        <v>322.94</v>
      </c>
    </row>
    <row r="52" spans="1:7" x14ac:dyDescent="0.3">
      <c r="A52" s="1">
        <v>0.67569444444444449</v>
      </c>
      <c r="B52">
        <v>0.42799999999999999</v>
      </c>
      <c r="C52">
        <v>1.97</v>
      </c>
      <c r="D52">
        <v>1.97</v>
      </c>
      <c r="E52">
        <v>4</v>
      </c>
      <c r="F52">
        <v>2.02</v>
      </c>
      <c r="G52">
        <f t="shared" si="0"/>
        <v>322.94</v>
      </c>
    </row>
    <row r="53" spans="1:7" x14ac:dyDescent="0.3">
      <c r="A53" s="1">
        <v>0.67569444444444449</v>
      </c>
      <c r="B53">
        <v>0.42399999999999999</v>
      </c>
      <c r="C53">
        <v>1.81</v>
      </c>
      <c r="D53">
        <v>1.81</v>
      </c>
      <c r="E53">
        <v>4</v>
      </c>
      <c r="F53">
        <v>2.02</v>
      </c>
      <c r="G53">
        <f t="shared" si="0"/>
        <v>322.94</v>
      </c>
    </row>
    <row r="54" spans="1:7" x14ac:dyDescent="0.3">
      <c r="A54" s="1">
        <v>0.67569444444444449</v>
      </c>
      <c r="B54">
        <v>0.42399999999999999</v>
      </c>
      <c r="C54">
        <v>1.81</v>
      </c>
      <c r="D54">
        <v>1.81</v>
      </c>
      <c r="E54">
        <v>4</v>
      </c>
      <c r="F54">
        <v>2.02</v>
      </c>
      <c r="G54">
        <f t="shared" si="0"/>
        <v>322.94</v>
      </c>
    </row>
    <row r="55" spans="1:7" x14ac:dyDescent="0.3">
      <c r="A55" s="1">
        <v>0.68263888888888891</v>
      </c>
      <c r="B55">
        <v>0.42599999999999999</v>
      </c>
      <c r="C55">
        <v>1.65</v>
      </c>
      <c r="D55">
        <v>1.85</v>
      </c>
      <c r="E55">
        <v>3</v>
      </c>
      <c r="F55">
        <v>1.89</v>
      </c>
      <c r="G55">
        <f t="shared" si="0"/>
        <v>304.48</v>
      </c>
    </row>
    <row r="56" spans="1:7" x14ac:dyDescent="0.3">
      <c r="A56" s="1">
        <v>0.68263888888888891</v>
      </c>
      <c r="B56">
        <v>0.42599999999999999</v>
      </c>
      <c r="C56">
        <v>2.0499999999999998</v>
      </c>
      <c r="D56">
        <v>1.85</v>
      </c>
      <c r="E56">
        <v>3</v>
      </c>
      <c r="F56">
        <v>1.89</v>
      </c>
      <c r="G56">
        <f t="shared" si="0"/>
        <v>304.48</v>
      </c>
    </row>
    <row r="57" spans="1:7" x14ac:dyDescent="0.3">
      <c r="A57" s="1">
        <v>0.68263888888888891</v>
      </c>
      <c r="B57">
        <v>0.43099999999999999</v>
      </c>
      <c r="C57">
        <v>2.0299999999999998</v>
      </c>
      <c r="D57">
        <v>2.0299999999999998</v>
      </c>
      <c r="E57">
        <v>3</v>
      </c>
      <c r="F57">
        <v>1.89</v>
      </c>
      <c r="G57">
        <f t="shared" si="0"/>
        <v>304.48</v>
      </c>
    </row>
    <row r="58" spans="1:7" x14ac:dyDescent="0.3">
      <c r="A58" s="1">
        <v>0.68263888888888891</v>
      </c>
      <c r="B58">
        <v>0.43099999999999999</v>
      </c>
      <c r="C58">
        <v>2.0299999999999998</v>
      </c>
      <c r="D58">
        <v>2.0299999999999998</v>
      </c>
      <c r="E58">
        <v>3</v>
      </c>
      <c r="F58">
        <v>1.89</v>
      </c>
      <c r="G58">
        <f t="shared" si="0"/>
        <v>304.48</v>
      </c>
    </row>
    <row r="59" spans="1:7" x14ac:dyDescent="0.3">
      <c r="A59" s="1">
        <v>0.68958333333333333</v>
      </c>
      <c r="B59">
        <v>0.44400000000000001</v>
      </c>
      <c r="C59">
        <v>1.67</v>
      </c>
      <c r="D59">
        <v>1.86</v>
      </c>
      <c r="E59">
        <v>10</v>
      </c>
      <c r="F59">
        <v>1.8</v>
      </c>
      <c r="G59">
        <f t="shared" si="0"/>
        <v>291.7</v>
      </c>
    </row>
    <row r="60" spans="1:7" x14ac:dyDescent="0.3">
      <c r="A60" s="1">
        <v>0.68958333333333333</v>
      </c>
      <c r="B60">
        <v>0.44400000000000001</v>
      </c>
      <c r="C60">
        <v>2.0499999999999998</v>
      </c>
      <c r="D60">
        <v>1.86</v>
      </c>
      <c r="E60">
        <v>10</v>
      </c>
      <c r="F60">
        <v>1.8</v>
      </c>
      <c r="G60">
        <f t="shared" si="0"/>
        <v>291.7</v>
      </c>
    </row>
    <row r="61" spans="1:7" x14ac:dyDescent="0.3">
      <c r="A61" s="1">
        <v>0.68958333333333333</v>
      </c>
      <c r="B61">
        <v>0.40799999999999997</v>
      </c>
      <c r="C61">
        <v>1.76</v>
      </c>
      <c r="D61">
        <v>1.76</v>
      </c>
      <c r="E61">
        <v>10</v>
      </c>
      <c r="F61">
        <v>1.8</v>
      </c>
      <c r="G61">
        <f t="shared" si="0"/>
        <v>291.7</v>
      </c>
    </row>
    <row r="62" spans="1:7" x14ac:dyDescent="0.3">
      <c r="A62" s="1">
        <v>0.68958333333333333</v>
      </c>
      <c r="B62">
        <v>0.40799999999999997</v>
      </c>
      <c r="C62">
        <v>1.76</v>
      </c>
      <c r="D62">
        <v>1.76</v>
      </c>
      <c r="E62">
        <v>10</v>
      </c>
      <c r="F62">
        <v>1.8</v>
      </c>
      <c r="G62">
        <f t="shared" si="0"/>
        <v>291.7</v>
      </c>
    </row>
    <row r="63" spans="1:7" x14ac:dyDescent="0.3">
      <c r="A63" s="1">
        <v>0.69722222222222219</v>
      </c>
      <c r="B63">
        <v>0.43099999999999999</v>
      </c>
      <c r="C63">
        <v>1.93</v>
      </c>
      <c r="D63">
        <v>1.93</v>
      </c>
      <c r="E63">
        <v>1</v>
      </c>
      <c r="F63">
        <v>1.82</v>
      </c>
      <c r="G63">
        <f t="shared" si="0"/>
        <v>294.54000000000002</v>
      </c>
    </row>
    <row r="64" spans="1:7" x14ac:dyDescent="0.3">
      <c r="A64" s="1">
        <v>0.69722222222222219</v>
      </c>
      <c r="B64">
        <v>0.43099999999999999</v>
      </c>
      <c r="C64">
        <v>1.93</v>
      </c>
      <c r="D64">
        <v>1.93</v>
      </c>
      <c r="E64">
        <v>1</v>
      </c>
      <c r="F64">
        <v>1.82</v>
      </c>
      <c r="G64">
        <f t="shared" si="0"/>
        <v>294.54000000000002</v>
      </c>
    </row>
    <row r="65" spans="1:7" x14ac:dyDescent="0.3">
      <c r="A65" s="1">
        <v>0.69722222222222219</v>
      </c>
      <c r="B65">
        <v>0.42499999999999999</v>
      </c>
      <c r="C65">
        <v>1.7</v>
      </c>
      <c r="D65">
        <v>1.89</v>
      </c>
      <c r="E65">
        <v>1</v>
      </c>
      <c r="F65">
        <v>1.82</v>
      </c>
      <c r="G65">
        <f t="shared" si="0"/>
        <v>294.54000000000002</v>
      </c>
    </row>
    <row r="66" spans="1:7" x14ac:dyDescent="0.3">
      <c r="A66" s="1">
        <v>0.69722222222222219</v>
      </c>
      <c r="B66">
        <v>0.42499999999999999</v>
      </c>
      <c r="C66">
        <v>2.0699999999999998</v>
      </c>
      <c r="D66">
        <v>1.89</v>
      </c>
      <c r="E66">
        <v>1</v>
      </c>
      <c r="F66">
        <v>1.82</v>
      </c>
      <c r="G66">
        <f t="shared" si="0"/>
        <v>294.54000000000002</v>
      </c>
    </row>
    <row r="67" spans="1:7" x14ac:dyDescent="0.3">
      <c r="A67" s="1">
        <v>0.72430555555555554</v>
      </c>
      <c r="B67">
        <v>0.432</v>
      </c>
      <c r="C67">
        <v>1.63</v>
      </c>
      <c r="D67">
        <v>1.84</v>
      </c>
      <c r="E67">
        <v>9</v>
      </c>
      <c r="F67">
        <v>1.89</v>
      </c>
      <c r="G67">
        <f t="shared" si="0"/>
        <v>304.48</v>
      </c>
    </row>
    <row r="68" spans="1:7" x14ac:dyDescent="0.3">
      <c r="A68" s="1">
        <v>0.72430555555555554</v>
      </c>
      <c r="B68">
        <v>0.432</v>
      </c>
      <c r="C68">
        <v>2.04</v>
      </c>
      <c r="D68">
        <v>1.84</v>
      </c>
      <c r="E68">
        <v>9</v>
      </c>
      <c r="F68">
        <v>1.89</v>
      </c>
      <c r="G68">
        <f t="shared" ref="G68:G131" si="1">142*F68+36.1</f>
        <v>304.48</v>
      </c>
    </row>
    <row r="69" spans="1:7" x14ac:dyDescent="0.3">
      <c r="A69" s="1">
        <v>0.72430555555555554</v>
      </c>
      <c r="B69">
        <v>0.42099999999999999</v>
      </c>
      <c r="C69">
        <v>1.69</v>
      </c>
      <c r="D69">
        <v>1.89</v>
      </c>
      <c r="E69">
        <v>9</v>
      </c>
      <c r="F69">
        <v>1.89</v>
      </c>
      <c r="G69">
        <f t="shared" si="1"/>
        <v>304.48</v>
      </c>
    </row>
    <row r="70" spans="1:7" x14ac:dyDescent="0.3">
      <c r="A70" s="1">
        <v>0.72430555555555554</v>
      </c>
      <c r="B70">
        <v>0.42099999999999999</v>
      </c>
      <c r="C70">
        <v>2.0499999999999998</v>
      </c>
      <c r="D70">
        <v>1.89</v>
      </c>
      <c r="E70">
        <v>9</v>
      </c>
      <c r="F70">
        <v>1.89</v>
      </c>
      <c r="G70">
        <f t="shared" si="1"/>
        <v>304.48</v>
      </c>
    </row>
    <row r="71" spans="1:7" x14ac:dyDescent="0.3">
      <c r="A71" s="1">
        <v>0.73124999999999996</v>
      </c>
      <c r="B71">
        <v>0.42199999999999999</v>
      </c>
      <c r="C71">
        <v>1.73</v>
      </c>
      <c r="D71">
        <v>1.9</v>
      </c>
      <c r="E71">
        <v>4</v>
      </c>
      <c r="F71">
        <v>1.67</v>
      </c>
      <c r="G71">
        <f t="shared" si="1"/>
        <v>273.24</v>
      </c>
    </row>
    <row r="72" spans="1:7" x14ac:dyDescent="0.3">
      <c r="A72" s="1">
        <v>0.73124999999999996</v>
      </c>
      <c r="B72">
        <v>0.42199999999999999</v>
      </c>
      <c r="C72">
        <v>2.0699999999999998</v>
      </c>
      <c r="D72">
        <v>1.9</v>
      </c>
      <c r="E72">
        <v>4</v>
      </c>
      <c r="F72">
        <v>1.67</v>
      </c>
      <c r="G72">
        <f t="shared" si="1"/>
        <v>273.24</v>
      </c>
    </row>
    <row r="73" spans="1:7" x14ac:dyDescent="0.3">
      <c r="A73" s="1">
        <v>0.73124999999999996</v>
      </c>
      <c r="B73">
        <v>0.41499999999999998</v>
      </c>
      <c r="C73">
        <v>1.73</v>
      </c>
      <c r="D73">
        <v>1.92</v>
      </c>
      <c r="E73">
        <v>4</v>
      </c>
      <c r="F73">
        <v>1.67</v>
      </c>
      <c r="G73">
        <f t="shared" si="1"/>
        <v>273.24</v>
      </c>
    </row>
    <row r="74" spans="1:7" x14ac:dyDescent="0.3">
      <c r="A74" s="1">
        <v>0.73124999999999996</v>
      </c>
      <c r="B74">
        <v>0.41499999999999998</v>
      </c>
      <c r="C74">
        <v>2.11</v>
      </c>
      <c r="D74">
        <v>1.92</v>
      </c>
      <c r="E74">
        <v>4</v>
      </c>
      <c r="F74">
        <v>1.67</v>
      </c>
      <c r="G74">
        <f t="shared" si="1"/>
        <v>273.24</v>
      </c>
    </row>
    <row r="75" spans="1:7" x14ac:dyDescent="0.3">
      <c r="A75" s="1">
        <v>0.73819444444444449</v>
      </c>
      <c r="B75">
        <v>0.441</v>
      </c>
      <c r="C75">
        <v>2</v>
      </c>
      <c r="D75">
        <v>2</v>
      </c>
      <c r="E75">
        <v>10</v>
      </c>
      <c r="F75">
        <v>1.76</v>
      </c>
      <c r="G75">
        <f t="shared" si="1"/>
        <v>286.02</v>
      </c>
    </row>
    <row r="76" spans="1:7" x14ac:dyDescent="0.3">
      <c r="A76" s="1">
        <v>0.73819444444444449</v>
      </c>
      <c r="B76">
        <v>0.441</v>
      </c>
      <c r="C76">
        <v>2</v>
      </c>
      <c r="D76">
        <v>2</v>
      </c>
      <c r="E76">
        <v>10</v>
      </c>
      <c r="F76">
        <v>1.76</v>
      </c>
      <c r="G76">
        <f t="shared" si="1"/>
        <v>286.02</v>
      </c>
    </row>
    <row r="77" spans="1:7" x14ac:dyDescent="0.3">
      <c r="A77" s="1">
        <v>0.73819444444444449</v>
      </c>
      <c r="B77">
        <v>0.41899999999999998</v>
      </c>
      <c r="C77">
        <v>1.47</v>
      </c>
      <c r="D77">
        <v>1.76</v>
      </c>
      <c r="E77">
        <v>10</v>
      </c>
      <c r="F77">
        <v>1.76</v>
      </c>
      <c r="G77">
        <f t="shared" si="1"/>
        <v>286.02</v>
      </c>
    </row>
    <row r="78" spans="1:7" x14ac:dyDescent="0.3">
      <c r="A78" s="1">
        <v>0.73819444444444449</v>
      </c>
      <c r="B78">
        <v>0.41899999999999998</v>
      </c>
      <c r="C78">
        <v>1.94</v>
      </c>
      <c r="D78">
        <v>1.76</v>
      </c>
      <c r="E78">
        <v>10</v>
      </c>
      <c r="F78">
        <v>1.76</v>
      </c>
      <c r="G78">
        <f t="shared" si="1"/>
        <v>286.02</v>
      </c>
    </row>
    <row r="79" spans="1:7" x14ac:dyDescent="0.3">
      <c r="A79" s="1">
        <v>0.74513888888888891</v>
      </c>
      <c r="B79">
        <v>0.42799999999999999</v>
      </c>
      <c r="C79">
        <v>1.72</v>
      </c>
      <c r="D79">
        <v>1.88</v>
      </c>
      <c r="E79">
        <v>3</v>
      </c>
      <c r="F79">
        <v>1.83</v>
      </c>
      <c r="G79">
        <f t="shared" si="1"/>
        <v>295.96000000000004</v>
      </c>
    </row>
    <row r="80" spans="1:7" x14ac:dyDescent="0.3">
      <c r="A80" s="1">
        <v>0.74513888888888891</v>
      </c>
      <c r="B80">
        <v>0.42799999999999999</v>
      </c>
      <c r="C80">
        <v>2.04</v>
      </c>
      <c r="D80">
        <v>1.88</v>
      </c>
      <c r="E80">
        <v>3</v>
      </c>
      <c r="F80">
        <v>1.83</v>
      </c>
      <c r="G80">
        <f t="shared" si="1"/>
        <v>295.96000000000004</v>
      </c>
    </row>
    <row r="81" spans="1:7" x14ac:dyDescent="0.3">
      <c r="A81" s="1">
        <v>0.74513888888888891</v>
      </c>
      <c r="B81">
        <v>0.41899999999999998</v>
      </c>
      <c r="C81">
        <v>1.74</v>
      </c>
      <c r="D81">
        <v>1.88</v>
      </c>
      <c r="E81">
        <v>3</v>
      </c>
      <c r="F81">
        <v>1.83</v>
      </c>
      <c r="G81">
        <f t="shared" si="1"/>
        <v>295.96000000000004</v>
      </c>
    </row>
    <row r="82" spans="1:7" x14ac:dyDescent="0.3">
      <c r="A82" s="1">
        <v>0.74513888888888891</v>
      </c>
      <c r="B82">
        <v>0.41899999999999998</v>
      </c>
      <c r="C82">
        <v>2.02</v>
      </c>
      <c r="D82">
        <v>1.88</v>
      </c>
      <c r="E82">
        <v>3</v>
      </c>
      <c r="F82">
        <v>1.83</v>
      </c>
      <c r="G82">
        <f t="shared" si="1"/>
        <v>295.96000000000004</v>
      </c>
    </row>
    <row r="83" spans="1:7" x14ac:dyDescent="0.3">
      <c r="A83" s="1">
        <v>0.75208333333333333</v>
      </c>
      <c r="B83">
        <v>0.441</v>
      </c>
      <c r="C83">
        <v>1.68</v>
      </c>
      <c r="D83">
        <v>1.86</v>
      </c>
      <c r="E83">
        <v>10</v>
      </c>
      <c r="F83">
        <v>1.85</v>
      </c>
      <c r="G83">
        <f t="shared" si="1"/>
        <v>298.8</v>
      </c>
    </row>
    <row r="84" spans="1:7" x14ac:dyDescent="0.3">
      <c r="A84" s="1">
        <v>0.75208333333333333</v>
      </c>
      <c r="B84">
        <v>0.441</v>
      </c>
      <c r="C84">
        <v>2.06</v>
      </c>
      <c r="D84">
        <v>1.86</v>
      </c>
      <c r="E84">
        <v>10</v>
      </c>
      <c r="F84">
        <v>1.85</v>
      </c>
      <c r="G84">
        <f t="shared" si="1"/>
        <v>298.8</v>
      </c>
    </row>
    <row r="85" spans="1:7" x14ac:dyDescent="0.3">
      <c r="A85" s="1">
        <v>0.75208333333333333</v>
      </c>
      <c r="B85">
        <v>0.42899999999999999</v>
      </c>
      <c r="C85">
        <v>1.66</v>
      </c>
      <c r="D85">
        <v>1.86</v>
      </c>
      <c r="E85">
        <v>10</v>
      </c>
      <c r="F85">
        <v>1.85</v>
      </c>
      <c r="G85">
        <f t="shared" si="1"/>
        <v>298.8</v>
      </c>
    </row>
    <row r="86" spans="1:7" x14ac:dyDescent="0.3">
      <c r="A86" s="1">
        <v>0.75208333333333333</v>
      </c>
      <c r="B86">
        <v>0.42899999999999999</v>
      </c>
      <c r="C86">
        <v>2.0499999999999998</v>
      </c>
      <c r="D86">
        <v>1.86</v>
      </c>
      <c r="E86">
        <v>10</v>
      </c>
      <c r="F86">
        <v>1.85</v>
      </c>
      <c r="G86">
        <f t="shared" si="1"/>
        <v>298.8</v>
      </c>
    </row>
    <row r="87" spans="1:7" x14ac:dyDescent="0.3">
      <c r="A87" s="1">
        <v>0.75902777777777775</v>
      </c>
      <c r="B87">
        <v>0.42599999999999999</v>
      </c>
      <c r="C87">
        <v>1.73</v>
      </c>
      <c r="D87">
        <v>1.89</v>
      </c>
      <c r="E87">
        <v>9</v>
      </c>
      <c r="F87">
        <v>1.75</v>
      </c>
      <c r="G87">
        <f t="shared" si="1"/>
        <v>284.60000000000002</v>
      </c>
    </row>
    <row r="88" spans="1:7" x14ac:dyDescent="0.3">
      <c r="A88" s="1">
        <v>0.75902777777777775</v>
      </c>
      <c r="B88">
        <v>0.42599999999999999</v>
      </c>
      <c r="C88">
        <v>2.04</v>
      </c>
      <c r="D88">
        <v>1.89</v>
      </c>
      <c r="E88">
        <v>9</v>
      </c>
      <c r="F88">
        <v>1.75</v>
      </c>
      <c r="G88">
        <f t="shared" si="1"/>
        <v>284.60000000000002</v>
      </c>
    </row>
    <row r="89" spans="1:7" x14ac:dyDescent="0.3">
      <c r="A89" s="1">
        <v>0.75902777777777775</v>
      </c>
      <c r="B89">
        <v>0.42799999999999999</v>
      </c>
      <c r="C89">
        <v>1.79</v>
      </c>
      <c r="D89">
        <v>1.9</v>
      </c>
      <c r="E89">
        <v>9</v>
      </c>
      <c r="F89">
        <v>1.75</v>
      </c>
      <c r="G89">
        <f t="shared" si="1"/>
        <v>284.60000000000002</v>
      </c>
    </row>
    <row r="90" spans="1:7" x14ac:dyDescent="0.3">
      <c r="A90" s="1">
        <v>0.75902777777777775</v>
      </c>
      <c r="B90">
        <v>0.42799999999999999</v>
      </c>
      <c r="C90">
        <v>2.0099999999999998</v>
      </c>
      <c r="D90">
        <v>1.9</v>
      </c>
      <c r="E90">
        <v>9</v>
      </c>
      <c r="F90">
        <v>1.75</v>
      </c>
      <c r="G90">
        <f t="shared" si="1"/>
        <v>284.60000000000002</v>
      </c>
    </row>
    <row r="91" spans="1:7" x14ac:dyDescent="0.3">
      <c r="A91" s="1">
        <v>0.76666666666666672</v>
      </c>
      <c r="B91">
        <v>0.42299999999999999</v>
      </c>
      <c r="C91">
        <v>1.74</v>
      </c>
      <c r="D91">
        <v>1.9</v>
      </c>
      <c r="E91">
        <v>4</v>
      </c>
      <c r="F91">
        <v>1.87</v>
      </c>
      <c r="G91">
        <f t="shared" si="1"/>
        <v>301.64000000000004</v>
      </c>
    </row>
    <row r="92" spans="1:7" x14ac:dyDescent="0.3">
      <c r="A92" s="1">
        <v>0.76666666666666672</v>
      </c>
      <c r="B92">
        <v>0.42299999999999999</v>
      </c>
      <c r="C92">
        <v>2.06</v>
      </c>
      <c r="D92">
        <v>1.9</v>
      </c>
      <c r="E92">
        <v>4</v>
      </c>
      <c r="F92">
        <v>1.87</v>
      </c>
      <c r="G92">
        <f t="shared" si="1"/>
        <v>301.64000000000004</v>
      </c>
    </row>
    <row r="93" spans="1:7" x14ac:dyDescent="0.3">
      <c r="A93" s="1">
        <v>0.76666666666666672</v>
      </c>
      <c r="B93">
        <v>0.42599999999999999</v>
      </c>
      <c r="C93">
        <v>1.72</v>
      </c>
      <c r="D93">
        <v>1.87</v>
      </c>
      <c r="E93">
        <v>4</v>
      </c>
      <c r="F93">
        <v>1.87</v>
      </c>
      <c r="G93">
        <f t="shared" si="1"/>
        <v>301.64000000000004</v>
      </c>
    </row>
    <row r="94" spans="1:7" x14ac:dyDescent="0.3">
      <c r="A94" s="1">
        <v>0.76666666666666672</v>
      </c>
      <c r="B94">
        <v>0.42599999999999999</v>
      </c>
      <c r="C94">
        <v>2.02</v>
      </c>
      <c r="D94">
        <v>1.87</v>
      </c>
      <c r="E94">
        <v>4</v>
      </c>
      <c r="F94">
        <v>1.87</v>
      </c>
      <c r="G94">
        <f t="shared" si="1"/>
        <v>301.64000000000004</v>
      </c>
    </row>
    <row r="95" spans="1:7" x14ac:dyDescent="0.3">
      <c r="A95" s="1">
        <v>0.7729166666666667</v>
      </c>
      <c r="B95">
        <v>0.42799999999999999</v>
      </c>
      <c r="C95">
        <v>1.72</v>
      </c>
      <c r="D95">
        <v>1.89</v>
      </c>
      <c r="E95">
        <v>10</v>
      </c>
      <c r="F95">
        <v>1.75</v>
      </c>
      <c r="G95">
        <f t="shared" si="1"/>
        <v>284.60000000000002</v>
      </c>
    </row>
    <row r="96" spans="1:7" x14ac:dyDescent="0.3">
      <c r="A96" s="1">
        <v>0.7729166666666667</v>
      </c>
      <c r="B96">
        <v>0.42799999999999999</v>
      </c>
      <c r="C96">
        <v>2.0499999999999998</v>
      </c>
      <c r="D96">
        <v>1.89</v>
      </c>
      <c r="E96">
        <v>10</v>
      </c>
      <c r="F96">
        <v>1.75</v>
      </c>
      <c r="G96">
        <f t="shared" si="1"/>
        <v>284.60000000000002</v>
      </c>
    </row>
    <row r="97" spans="1:7" x14ac:dyDescent="0.3">
      <c r="A97" s="1">
        <v>0.7729166666666667</v>
      </c>
      <c r="B97">
        <v>0.42599999999999999</v>
      </c>
      <c r="C97">
        <v>1.71</v>
      </c>
      <c r="D97">
        <v>1.88</v>
      </c>
      <c r="E97">
        <v>10</v>
      </c>
      <c r="F97">
        <v>1.75</v>
      </c>
      <c r="G97">
        <f t="shared" si="1"/>
        <v>284.60000000000002</v>
      </c>
    </row>
    <row r="98" spans="1:7" x14ac:dyDescent="0.3">
      <c r="A98" s="1">
        <v>0.7729166666666667</v>
      </c>
      <c r="B98">
        <v>0.42599999999999999</v>
      </c>
      <c r="C98">
        <v>2.0499999999999998</v>
      </c>
      <c r="D98">
        <v>1.88</v>
      </c>
      <c r="E98">
        <v>10</v>
      </c>
      <c r="F98">
        <v>1.75</v>
      </c>
      <c r="G98">
        <f t="shared" si="1"/>
        <v>284.60000000000002</v>
      </c>
    </row>
    <row r="99" spans="1:7" x14ac:dyDescent="0.3">
      <c r="A99" s="1">
        <v>0.78125</v>
      </c>
      <c r="B99">
        <v>0.42499999999999999</v>
      </c>
      <c r="C99">
        <v>1.67</v>
      </c>
      <c r="D99">
        <v>1.85</v>
      </c>
      <c r="E99">
        <v>9</v>
      </c>
      <c r="F99">
        <v>1.97</v>
      </c>
      <c r="G99">
        <f t="shared" si="1"/>
        <v>315.84000000000003</v>
      </c>
    </row>
    <row r="100" spans="1:7" x14ac:dyDescent="0.3">
      <c r="A100" s="1">
        <v>0.78125</v>
      </c>
      <c r="B100">
        <v>0.42499999999999999</v>
      </c>
      <c r="C100">
        <v>2.0299999999999998</v>
      </c>
      <c r="D100">
        <v>1.85</v>
      </c>
      <c r="E100">
        <v>9</v>
      </c>
      <c r="F100">
        <v>1.97</v>
      </c>
      <c r="G100">
        <f t="shared" si="1"/>
        <v>315.84000000000003</v>
      </c>
    </row>
    <row r="101" spans="1:7" x14ac:dyDescent="0.3">
      <c r="A101" s="1">
        <v>0.78125</v>
      </c>
      <c r="B101">
        <v>0.42599999999999999</v>
      </c>
      <c r="C101">
        <v>1.72</v>
      </c>
      <c r="D101">
        <v>1.88</v>
      </c>
      <c r="E101">
        <v>9</v>
      </c>
      <c r="F101">
        <v>1.97</v>
      </c>
      <c r="G101">
        <f t="shared" si="1"/>
        <v>315.84000000000003</v>
      </c>
    </row>
    <row r="102" spans="1:7" x14ac:dyDescent="0.3">
      <c r="A102" s="1">
        <v>0.78125</v>
      </c>
      <c r="B102">
        <v>0.42599999999999999</v>
      </c>
      <c r="C102">
        <v>2.0299999999999998</v>
      </c>
      <c r="D102">
        <v>1.88</v>
      </c>
      <c r="E102">
        <v>9</v>
      </c>
      <c r="F102">
        <v>1.97</v>
      </c>
      <c r="G102">
        <f t="shared" si="1"/>
        <v>315.84000000000003</v>
      </c>
    </row>
    <row r="103" spans="1:7" x14ac:dyDescent="0.3">
      <c r="A103" s="1">
        <v>0.78749999999999998</v>
      </c>
      <c r="B103">
        <v>0.433</v>
      </c>
      <c r="C103">
        <v>1.74</v>
      </c>
      <c r="D103">
        <v>1.91</v>
      </c>
      <c r="E103">
        <v>3</v>
      </c>
      <c r="F103">
        <v>1.98</v>
      </c>
      <c r="G103">
        <f t="shared" si="1"/>
        <v>317.26000000000005</v>
      </c>
    </row>
    <row r="104" spans="1:7" x14ac:dyDescent="0.3">
      <c r="A104" s="1">
        <v>0.78749999999999998</v>
      </c>
      <c r="B104">
        <v>0.433</v>
      </c>
      <c r="C104">
        <v>2.0699999999999998</v>
      </c>
      <c r="D104">
        <v>1.91</v>
      </c>
      <c r="E104">
        <v>3</v>
      </c>
      <c r="F104">
        <v>1.98</v>
      </c>
      <c r="G104">
        <f t="shared" si="1"/>
        <v>317.26000000000005</v>
      </c>
    </row>
    <row r="105" spans="1:7" x14ac:dyDescent="0.3">
      <c r="A105" s="1">
        <v>0.78749999999999998</v>
      </c>
      <c r="B105">
        <v>0.41399999999999998</v>
      </c>
      <c r="C105">
        <v>1.71</v>
      </c>
      <c r="D105">
        <v>1.88</v>
      </c>
      <c r="E105">
        <v>3</v>
      </c>
      <c r="F105">
        <v>1.98</v>
      </c>
      <c r="G105">
        <f t="shared" si="1"/>
        <v>317.26000000000005</v>
      </c>
    </row>
    <row r="106" spans="1:7" x14ac:dyDescent="0.3">
      <c r="A106" s="1">
        <v>0.78749999999999998</v>
      </c>
      <c r="B106">
        <v>0.41399999999999998</v>
      </c>
      <c r="C106">
        <v>2.04</v>
      </c>
      <c r="D106">
        <v>1.88</v>
      </c>
      <c r="E106">
        <v>3</v>
      </c>
      <c r="F106">
        <v>1.98</v>
      </c>
      <c r="G106">
        <f t="shared" si="1"/>
        <v>317.26000000000005</v>
      </c>
    </row>
    <row r="107" spans="1:7" x14ac:dyDescent="0.3">
      <c r="A107" s="1">
        <v>0.7944444444444444</v>
      </c>
      <c r="B107">
        <v>0.43</v>
      </c>
      <c r="C107">
        <v>1.71</v>
      </c>
      <c r="D107">
        <v>1.89</v>
      </c>
      <c r="E107">
        <v>1</v>
      </c>
      <c r="F107">
        <v>1.87</v>
      </c>
      <c r="G107">
        <f t="shared" si="1"/>
        <v>301.64000000000004</v>
      </c>
    </row>
    <row r="108" spans="1:7" x14ac:dyDescent="0.3">
      <c r="A108" s="1">
        <v>0.7944444444444444</v>
      </c>
      <c r="B108">
        <v>0.43</v>
      </c>
      <c r="C108">
        <v>2.06</v>
      </c>
      <c r="D108">
        <v>1.89</v>
      </c>
      <c r="E108">
        <v>1</v>
      </c>
      <c r="F108">
        <v>1.87</v>
      </c>
      <c r="G108">
        <f t="shared" si="1"/>
        <v>301.64000000000004</v>
      </c>
    </row>
    <row r="109" spans="1:7" x14ac:dyDescent="0.3">
      <c r="A109" s="1">
        <v>0.7944444444444444</v>
      </c>
      <c r="B109">
        <v>0.43</v>
      </c>
      <c r="C109">
        <v>1.72</v>
      </c>
      <c r="D109">
        <v>1.89</v>
      </c>
      <c r="E109">
        <v>1</v>
      </c>
      <c r="F109">
        <v>1.87</v>
      </c>
      <c r="G109">
        <f t="shared" si="1"/>
        <v>301.64000000000004</v>
      </c>
    </row>
    <row r="110" spans="1:7" x14ac:dyDescent="0.3">
      <c r="A110" s="1">
        <v>0.7944444444444444</v>
      </c>
      <c r="B110">
        <v>0.43</v>
      </c>
      <c r="C110">
        <v>2.06</v>
      </c>
      <c r="D110">
        <v>1.89</v>
      </c>
      <c r="E110">
        <v>1</v>
      </c>
      <c r="F110">
        <v>1.87</v>
      </c>
      <c r="G110">
        <f t="shared" si="1"/>
        <v>301.64000000000004</v>
      </c>
    </row>
    <row r="111" spans="1:7" x14ac:dyDescent="0.3">
      <c r="A111" s="1">
        <v>0.80625000000000002</v>
      </c>
      <c r="B111">
        <v>0.42099999999999999</v>
      </c>
      <c r="C111">
        <v>1.72</v>
      </c>
      <c r="D111">
        <v>1.89</v>
      </c>
      <c r="E111" s="2" t="s">
        <v>11</v>
      </c>
      <c r="F111">
        <v>2.04</v>
      </c>
      <c r="G111">
        <f t="shared" si="1"/>
        <v>325.78000000000003</v>
      </c>
    </row>
    <row r="112" spans="1:7" x14ac:dyDescent="0.3">
      <c r="A112" s="1">
        <v>0.80625000000000002</v>
      </c>
      <c r="B112">
        <v>0.42099999999999999</v>
      </c>
      <c r="C112">
        <v>2.0499999999999998</v>
      </c>
      <c r="D112">
        <v>1.89</v>
      </c>
      <c r="E112" s="2" t="s">
        <v>11</v>
      </c>
      <c r="F112">
        <v>2.04</v>
      </c>
      <c r="G112">
        <f t="shared" si="1"/>
        <v>325.78000000000003</v>
      </c>
    </row>
    <row r="113" spans="1:7" x14ac:dyDescent="0.3">
      <c r="A113" s="1">
        <v>0.80625000000000002</v>
      </c>
      <c r="B113">
        <v>0.42399999999999999</v>
      </c>
      <c r="C113">
        <v>1.72</v>
      </c>
      <c r="D113">
        <v>1.89</v>
      </c>
      <c r="E113" s="2" t="s">
        <v>11</v>
      </c>
      <c r="F113">
        <v>2.04</v>
      </c>
      <c r="G113">
        <f t="shared" si="1"/>
        <v>325.78000000000003</v>
      </c>
    </row>
    <row r="114" spans="1:7" x14ac:dyDescent="0.3">
      <c r="A114" s="1">
        <v>0.80625000000000002</v>
      </c>
      <c r="B114">
        <v>0.42399999999999999</v>
      </c>
      <c r="C114">
        <v>2.0499999999999998</v>
      </c>
      <c r="D114">
        <v>1.89</v>
      </c>
      <c r="E114" s="2" t="s">
        <v>11</v>
      </c>
      <c r="F114">
        <v>2.04</v>
      </c>
      <c r="G114">
        <f t="shared" si="1"/>
        <v>325.78000000000003</v>
      </c>
    </row>
    <row r="115" spans="1:7" x14ac:dyDescent="0.3">
      <c r="A115" s="1">
        <v>0.80972222222222223</v>
      </c>
      <c r="B115">
        <v>0.42599999999999999</v>
      </c>
      <c r="C115">
        <v>1.7</v>
      </c>
      <c r="D115">
        <v>1.87</v>
      </c>
      <c r="E115" s="2">
        <v>3</v>
      </c>
      <c r="F115">
        <v>1.92</v>
      </c>
      <c r="G115">
        <f t="shared" si="1"/>
        <v>308.74</v>
      </c>
    </row>
    <row r="116" spans="1:7" x14ac:dyDescent="0.3">
      <c r="A116" s="1">
        <v>0.80972222222222223</v>
      </c>
      <c r="B116">
        <v>0.42599999999999999</v>
      </c>
      <c r="C116">
        <v>2.04</v>
      </c>
      <c r="D116">
        <v>1.87</v>
      </c>
      <c r="E116" s="2">
        <v>3</v>
      </c>
      <c r="F116">
        <v>1.92</v>
      </c>
      <c r="G116">
        <f t="shared" si="1"/>
        <v>308.74</v>
      </c>
    </row>
    <row r="117" spans="1:7" x14ac:dyDescent="0.3">
      <c r="A117" s="1">
        <v>0.80972222222222223</v>
      </c>
      <c r="B117">
        <v>0.434</v>
      </c>
      <c r="C117">
        <v>1.7</v>
      </c>
      <c r="D117">
        <v>1.89</v>
      </c>
      <c r="E117">
        <v>3</v>
      </c>
      <c r="F117">
        <v>1.92</v>
      </c>
      <c r="G117">
        <f t="shared" si="1"/>
        <v>308.74</v>
      </c>
    </row>
    <row r="118" spans="1:7" x14ac:dyDescent="0.3">
      <c r="A118" s="1">
        <v>0.80972222222222223</v>
      </c>
      <c r="B118">
        <v>0.434</v>
      </c>
      <c r="C118">
        <v>2.0699999999999998</v>
      </c>
      <c r="D118">
        <v>1.89</v>
      </c>
      <c r="E118" s="2">
        <v>3</v>
      </c>
      <c r="F118">
        <v>1.92</v>
      </c>
      <c r="G118">
        <f t="shared" si="1"/>
        <v>308.74</v>
      </c>
    </row>
    <row r="119" spans="1:7" x14ac:dyDescent="0.3">
      <c r="A119" s="1">
        <v>0.81527777777777777</v>
      </c>
      <c r="B119">
        <v>0.438</v>
      </c>
      <c r="C119">
        <v>1.95</v>
      </c>
      <c r="D119">
        <v>1.95</v>
      </c>
      <c r="E119" s="2">
        <v>8</v>
      </c>
      <c r="F119">
        <v>1.85</v>
      </c>
      <c r="G119">
        <f t="shared" si="1"/>
        <v>298.8</v>
      </c>
    </row>
    <row r="120" spans="1:7" x14ac:dyDescent="0.3">
      <c r="A120" s="1">
        <v>0.81527777777777777</v>
      </c>
      <c r="B120">
        <v>0.438</v>
      </c>
      <c r="C120">
        <v>1.95</v>
      </c>
      <c r="D120">
        <v>1.95</v>
      </c>
      <c r="E120" s="2">
        <v>8</v>
      </c>
      <c r="F120">
        <v>1.85</v>
      </c>
      <c r="G120">
        <f t="shared" si="1"/>
        <v>298.8</v>
      </c>
    </row>
    <row r="121" spans="1:7" x14ac:dyDescent="0.3">
      <c r="A121" s="1">
        <v>0.81527777777777777</v>
      </c>
      <c r="B121">
        <v>0.41599999999999998</v>
      </c>
      <c r="C121">
        <v>1.89</v>
      </c>
      <c r="D121">
        <v>1.89</v>
      </c>
      <c r="E121" s="2">
        <v>8</v>
      </c>
      <c r="F121">
        <v>1.85</v>
      </c>
      <c r="G121">
        <f t="shared" si="1"/>
        <v>298.8</v>
      </c>
    </row>
    <row r="122" spans="1:7" x14ac:dyDescent="0.3">
      <c r="A122" s="1">
        <v>0.81527777777777777</v>
      </c>
      <c r="B122">
        <v>0.41599999999999998</v>
      </c>
      <c r="C122">
        <v>1.89</v>
      </c>
      <c r="D122">
        <v>1.89</v>
      </c>
      <c r="E122" s="2">
        <v>8</v>
      </c>
      <c r="F122">
        <v>1.85</v>
      </c>
      <c r="G122">
        <f t="shared" si="1"/>
        <v>298.8</v>
      </c>
    </row>
    <row r="123" spans="1:7" x14ac:dyDescent="0.3">
      <c r="A123" s="1">
        <v>0.82152777777777775</v>
      </c>
      <c r="B123">
        <v>0.41899999999999998</v>
      </c>
      <c r="C123">
        <v>1.72</v>
      </c>
      <c r="D123">
        <v>1.88</v>
      </c>
      <c r="E123" s="2">
        <v>8</v>
      </c>
      <c r="F123">
        <v>1.72</v>
      </c>
      <c r="G123">
        <f t="shared" si="1"/>
        <v>280.34000000000003</v>
      </c>
    </row>
    <row r="124" spans="1:7" x14ac:dyDescent="0.3">
      <c r="A124" s="1">
        <v>0.82152777777777775</v>
      </c>
      <c r="B124">
        <v>0.41899999999999998</v>
      </c>
      <c r="C124">
        <v>2.0699999999999998</v>
      </c>
      <c r="D124">
        <v>1.88</v>
      </c>
      <c r="E124" s="2">
        <v>8</v>
      </c>
      <c r="F124">
        <v>1.72</v>
      </c>
      <c r="G124">
        <f t="shared" si="1"/>
        <v>280.34000000000003</v>
      </c>
    </row>
    <row r="125" spans="1:7" x14ac:dyDescent="0.3">
      <c r="A125" s="1">
        <v>0.82152777777777775</v>
      </c>
      <c r="B125">
        <v>0.42399999999999999</v>
      </c>
      <c r="C125">
        <v>1.74</v>
      </c>
      <c r="D125">
        <v>1.88</v>
      </c>
      <c r="E125" s="2">
        <v>8</v>
      </c>
      <c r="F125">
        <v>1.72</v>
      </c>
      <c r="G125">
        <f t="shared" si="1"/>
        <v>280.34000000000003</v>
      </c>
    </row>
    <row r="126" spans="1:7" x14ac:dyDescent="0.3">
      <c r="A126" s="1">
        <v>0.82152777777777775</v>
      </c>
      <c r="B126">
        <v>0.42399999999999999</v>
      </c>
      <c r="C126">
        <v>2.02</v>
      </c>
      <c r="D126">
        <v>1.88</v>
      </c>
      <c r="E126" s="2">
        <v>8</v>
      </c>
      <c r="F126">
        <v>1.72</v>
      </c>
      <c r="G126">
        <f t="shared" si="1"/>
        <v>280.34000000000003</v>
      </c>
    </row>
    <row r="127" spans="1:7" x14ac:dyDescent="0.3">
      <c r="A127" s="1">
        <v>0.82847222222222228</v>
      </c>
      <c r="B127">
        <v>0.42399999999999999</v>
      </c>
      <c r="C127">
        <v>1.73</v>
      </c>
      <c r="D127">
        <v>1.73</v>
      </c>
      <c r="E127" s="2">
        <v>2</v>
      </c>
      <c r="F127">
        <v>1.92</v>
      </c>
      <c r="G127">
        <f t="shared" si="1"/>
        <v>308.74</v>
      </c>
    </row>
    <row r="128" spans="1:7" x14ac:dyDescent="0.3">
      <c r="A128" s="1">
        <v>0.82847222222222228</v>
      </c>
      <c r="B128">
        <v>0.42399999999999999</v>
      </c>
      <c r="C128">
        <v>1.73</v>
      </c>
      <c r="D128">
        <v>1.73</v>
      </c>
      <c r="E128" s="2">
        <v>2</v>
      </c>
      <c r="F128">
        <v>1.92</v>
      </c>
      <c r="G128">
        <f t="shared" si="1"/>
        <v>308.74</v>
      </c>
    </row>
    <row r="129" spans="1:7" x14ac:dyDescent="0.3">
      <c r="A129" s="1">
        <v>0.82847222222222228</v>
      </c>
      <c r="B129">
        <v>0.439</v>
      </c>
      <c r="C129">
        <v>1.69</v>
      </c>
      <c r="D129">
        <v>1.75</v>
      </c>
      <c r="E129" s="2">
        <v>2</v>
      </c>
      <c r="F129">
        <v>1.92</v>
      </c>
      <c r="G129">
        <f t="shared" si="1"/>
        <v>308.74</v>
      </c>
    </row>
    <row r="130" spans="1:7" x14ac:dyDescent="0.3">
      <c r="A130" s="1">
        <v>0.82847222222222228</v>
      </c>
      <c r="B130">
        <v>0.439</v>
      </c>
      <c r="C130">
        <v>2.04</v>
      </c>
      <c r="D130">
        <v>1.75</v>
      </c>
      <c r="E130" s="2">
        <v>2</v>
      </c>
      <c r="F130">
        <v>1.92</v>
      </c>
      <c r="G130">
        <f t="shared" si="1"/>
        <v>308.74</v>
      </c>
    </row>
    <row r="131" spans="1:7" x14ac:dyDescent="0.3">
      <c r="A131" s="1">
        <v>0.84236111111111112</v>
      </c>
      <c r="B131">
        <v>0.43099999999999999</v>
      </c>
      <c r="C131">
        <v>1.97</v>
      </c>
      <c r="D131">
        <v>1.97</v>
      </c>
      <c r="E131" s="2">
        <v>2</v>
      </c>
      <c r="F131">
        <v>1.71</v>
      </c>
      <c r="G131">
        <f t="shared" si="1"/>
        <v>278.92</v>
      </c>
    </row>
    <row r="132" spans="1:7" x14ac:dyDescent="0.3">
      <c r="A132" s="1">
        <v>0.84236111111111112</v>
      </c>
      <c r="B132">
        <v>0.43099999999999999</v>
      </c>
      <c r="C132">
        <v>1.97</v>
      </c>
      <c r="D132">
        <v>1.97</v>
      </c>
      <c r="E132" s="2">
        <v>2</v>
      </c>
      <c r="F132">
        <v>1.71</v>
      </c>
      <c r="G132">
        <f t="shared" ref="G132:G134" si="2">142*F132+36.1</f>
        <v>278.92</v>
      </c>
    </row>
    <row r="133" spans="1:7" x14ac:dyDescent="0.3">
      <c r="A133" s="1">
        <v>0.84236111111111112</v>
      </c>
      <c r="B133">
        <v>0.42699999999999999</v>
      </c>
      <c r="C133">
        <v>1.87</v>
      </c>
      <c r="D133">
        <v>1.87</v>
      </c>
      <c r="E133" s="2">
        <v>2</v>
      </c>
      <c r="F133">
        <v>1.71</v>
      </c>
      <c r="G133">
        <f t="shared" si="2"/>
        <v>278.92</v>
      </c>
    </row>
    <row r="134" spans="1:7" x14ac:dyDescent="0.3">
      <c r="A134" s="1">
        <v>0.84236111111111112</v>
      </c>
      <c r="B134">
        <v>0.42699999999999999</v>
      </c>
      <c r="C134">
        <v>1.87</v>
      </c>
      <c r="D134">
        <v>1.87</v>
      </c>
      <c r="E134" s="2">
        <v>2</v>
      </c>
      <c r="F134">
        <v>1.71</v>
      </c>
      <c r="G134">
        <f t="shared" si="2"/>
        <v>278.92</v>
      </c>
    </row>
    <row r="135" spans="1:7" x14ac:dyDescent="0.3">
      <c r="A1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3D21-3494-1441-BE80-BEA1593CA22C}">
  <dimension ref="A1:I65"/>
  <sheetViews>
    <sheetView topLeftCell="B1" workbookViewId="0">
      <selection activeCell="K15" sqref="K15"/>
    </sheetView>
  </sheetViews>
  <sheetFormatPr defaultColWidth="11.19921875" defaultRowHeight="15.6" x14ac:dyDescent="0.3"/>
  <sheetData>
    <row r="1" spans="1:9" x14ac:dyDescent="0.3">
      <c r="A1" t="s">
        <v>0</v>
      </c>
      <c r="B1" t="s">
        <v>3</v>
      </c>
      <c r="C1" t="s">
        <v>6</v>
      </c>
      <c r="D1" t="s">
        <v>6</v>
      </c>
      <c r="E1" t="s">
        <v>15</v>
      </c>
      <c r="F1" t="s">
        <v>13</v>
      </c>
      <c r="G1" t="s">
        <v>15</v>
      </c>
      <c r="H1" t="s">
        <v>25</v>
      </c>
    </row>
    <row r="2" spans="1:9" x14ac:dyDescent="0.3">
      <c r="A2" t="s">
        <v>1</v>
      </c>
      <c r="B2" t="s">
        <v>2</v>
      </c>
      <c r="C2" t="s">
        <v>7</v>
      </c>
      <c r="D2" t="s">
        <v>8</v>
      </c>
      <c r="E2" t="s">
        <v>143</v>
      </c>
      <c r="F2" t="s">
        <v>14</v>
      </c>
      <c r="G2" t="s">
        <v>142</v>
      </c>
      <c r="H2" t="s">
        <v>14</v>
      </c>
    </row>
    <row r="3" spans="1:9" x14ac:dyDescent="0.3">
      <c r="A3" s="1">
        <v>0.59375</v>
      </c>
      <c r="B3">
        <v>0.42799999999999999</v>
      </c>
      <c r="C3">
        <v>1</v>
      </c>
      <c r="D3">
        <v>1.47</v>
      </c>
      <c r="E3" s="3">
        <f>142*D3+36.1</f>
        <v>244.84</v>
      </c>
      <c r="G3" s="3"/>
    </row>
    <row r="4" spans="1:9" x14ac:dyDescent="0.3">
      <c r="A4" s="1">
        <v>0.60069444444444442</v>
      </c>
      <c r="B4">
        <v>0.42099999999999999</v>
      </c>
      <c r="C4">
        <v>1</v>
      </c>
      <c r="D4">
        <v>1.32</v>
      </c>
      <c r="E4" s="3">
        <f t="shared" ref="E4:E30" si="0">142*D4+36.1</f>
        <v>223.54</v>
      </c>
      <c r="G4" s="3"/>
    </row>
    <row r="5" spans="1:9" x14ac:dyDescent="0.3">
      <c r="A5" s="1">
        <v>0.60833333333333328</v>
      </c>
      <c r="B5">
        <v>0.41799999999999998</v>
      </c>
      <c r="C5">
        <v>1</v>
      </c>
      <c r="D5">
        <v>1.52</v>
      </c>
      <c r="E5" s="3">
        <f t="shared" si="0"/>
        <v>251.94</v>
      </c>
      <c r="G5" s="3"/>
    </row>
    <row r="6" spans="1:9" x14ac:dyDescent="0.3">
      <c r="A6" s="1">
        <v>0.61527777777777781</v>
      </c>
      <c r="B6">
        <v>0.42599999999999999</v>
      </c>
      <c r="C6">
        <v>7</v>
      </c>
      <c r="D6">
        <v>1.43</v>
      </c>
      <c r="E6" s="3">
        <f t="shared" si="0"/>
        <v>239.16</v>
      </c>
      <c r="G6" s="3"/>
    </row>
    <row r="7" spans="1:9" x14ac:dyDescent="0.3">
      <c r="A7" s="1">
        <v>0.62222222222222223</v>
      </c>
      <c r="B7">
        <v>0.41499999999999998</v>
      </c>
      <c r="C7">
        <v>10</v>
      </c>
      <c r="D7">
        <v>1.45</v>
      </c>
      <c r="E7" s="3">
        <f t="shared" si="0"/>
        <v>242</v>
      </c>
      <c r="G7" s="3"/>
    </row>
    <row r="8" spans="1:9" x14ac:dyDescent="0.3">
      <c r="A8" s="1">
        <v>0.62916666666666665</v>
      </c>
      <c r="B8">
        <v>0.42299999999999999</v>
      </c>
      <c r="C8">
        <v>5</v>
      </c>
      <c r="D8">
        <v>1.6</v>
      </c>
      <c r="E8" s="3">
        <f t="shared" si="0"/>
        <v>263.3</v>
      </c>
      <c r="G8" s="3"/>
      <c r="H8">
        <v>1.71</v>
      </c>
    </row>
    <row r="9" spans="1:9" x14ac:dyDescent="0.3">
      <c r="A9" s="1">
        <v>0.63611111111111107</v>
      </c>
      <c r="B9">
        <v>0.41599999999999998</v>
      </c>
      <c r="C9">
        <v>8</v>
      </c>
      <c r="D9">
        <v>1.54</v>
      </c>
      <c r="E9" s="3">
        <f t="shared" si="0"/>
        <v>254.78</v>
      </c>
      <c r="G9" s="3"/>
    </row>
    <row r="10" spans="1:9" x14ac:dyDescent="0.3">
      <c r="A10" s="1">
        <v>0.6430555555555556</v>
      </c>
      <c r="B10">
        <v>0.41799999999999998</v>
      </c>
      <c r="C10" s="2" t="s">
        <v>16</v>
      </c>
      <c r="E10" s="3"/>
      <c r="F10">
        <v>0.82</v>
      </c>
      <c r="G10" s="3">
        <f t="shared" ref="G10" si="1">169.5*F10+129.7</f>
        <v>268.68999999999994</v>
      </c>
    </row>
    <row r="11" spans="1:9" x14ac:dyDescent="0.3">
      <c r="A11" s="1">
        <v>0.65</v>
      </c>
      <c r="B11">
        <v>0.41</v>
      </c>
      <c r="C11">
        <v>9</v>
      </c>
      <c r="D11">
        <v>1.82</v>
      </c>
      <c r="E11" s="3">
        <f t="shared" si="0"/>
        <v>294.54000000000002</v>
      </c>
      <c r="G11" s="3"/>
    </row>
    <row r="12" spans="1:9" x14ac:dyDescent="0.3">
      <c r="A12" s="1">
        <v>0.65694444444444444</v>
      </c>
      <c r="B12">
        <v>0.40300000000000002</v>
      </c>
      <c r="C12">
        <v>7</v>
      </c>
      <c r="D12">
        <v>1.92</v>
      </c>
      <c r="E12" s="3">
        <f t="shared" si="0"/>
        <v>308.74</v>
      </c>
      <c r="G12" s="3"/>
    </row>
    <row r="13" spans="1:9" x14ac:dyDescent="0.3">
      <c r="A13" s="1">
        <v>0.66388888888888886</v>
      </c>
      <c r="B13">
        <v>0.41199999999999998</v>
      </c>
      <c r="C13">
        <v>1</v>
      </c>
      <c r="D13">
        <v>1.9</v>
      </c>
      <c r="E13" s="3">
        <f t="shared" si="0"/>
        <v>305.90000000000003</v>
      </c>
      <c r="G13" s="3"/>
      <c r="H13">
        <v>1.74</v>
      </c>
    </row>
    <row r="14" spans="1:9" x14ac:dyDescent="0.3">
      <c r="A14" s="1">
        <v>0.67083333333333328</v>
      </c>
      <c r="B14">
        <v>0.40100000000000002</v>
      </c>
      <c r="C14">
        <v>5</v>
      </c>
      <c r="D14">
        <v>2</v>
      </c>
      <c r="E14" s="3">
        <f t="shared" si="0"/>
        <v>320.10000000000002</v>
      </c>
      <c r="G14" s="3" t="s">
        <v>24</v>
      </c>
      <c r="I14" t="s">
        <v>17</v>
      </c>
    </row>
    <row r="15" spans="1:9" x14ac:dyDescent="0.3">
      <c r="A15" s="1">
        <v>0.68472222222222223</v>
      </c>
      <c r="B15">
        <v>0.40600000000000003</v>
      </c>
      <c r="C15">
        <v>2</v>
      </c>
      <c r="D15">
        <v>2.13</v>
      </c>
      <c r="E15" s="3">
        <f t="shared" si="0"/>
        <v>338.56</v>
      </c>
      <c r="G15" s="3" t="s">
        <v>24</v>
      </c>
    </row>
    <row r="16" spans="1:9" x14ac:dyDescent="0.3">
      <c r="A16" s="1">
        <v>0.69166666666666665</v>
      </c>
      <c r="B16">
        <v>0.41299999999999998</v>
      </c>
      <c r="C16">
        <v>1</v>
      </c>
      <c r="D16">
        <v>2</v>
      </c>
      <c r="E16" s="3">
        <f t="shared" si="0"/>
        <v>320.10000000000002</v>
      </c>
      <c r="G16" s="3"/>
    </row>
    <row r="17" spans="1:9" x14ac:dyDescent="0.3">
      <c r="A17" s="1">
        <v>0.69861111111111107</v>
      </c>
      <c r="B17">
        <v>0.438</v>
      </c>
      <c r="E17" s="3"/>
      <c r="G17" s="3"/>
      <c r="I17" t="s">
        <v>18</v>
      </c>
    </row>
    <row r="18" spans="1:9" x14ac:dyDescent="0.3">
      <c r="A18" s="1">
        <v>0.71250000000000002</v>
      </c>
      <c r="B18">
        <v>0.40600000000000003</v>
      </c>
      <c r="C18">
        <v>1</v>
      </c>
      <c r="D18">
        <v>2</v>
      </c>
      <c r="E18" s="3">
        <f t="shared" si="0"/>
        <v>320.10000000000002</v>
      </c>
      <c r="G18" s="3"/>
    </row>
    <row r="19" spans="1:9" x14ac:dyDescent="0.3">
      <c r="A19" s="1">
        <v>0.71944444444444444</v>
      </c>
      <c r="B19">
        <v>0.40400000000000003</v>
      </c>
      <c r="E19" s="3"/>
      <c r="G19" s="3"/>
    </row>
    <row r="20" spans="1:9" x14ac:dyDescent="0.3">
      <c r="A20" s="1">
        <v>0.72638888888888886</v>
      </c>
      <c r="B20">
        <v>0.432</v>
      </c>
      <c r="C20">
        <v>3</v>
      </c>
      <c r="D20">
        <v>2</v>
      </c>
      <c r="E20" s="3">
        <f t="shared" si="0"/>
        <v>320.10000000000002</v>
      </c>
      <c r="G20" s="3"/>
    </row>
    <row r="21" spans="1:9" x14ac:dyDescent="0.3">
      <c r="A21" s="1">
        <v>0.73333333333333328</v>
      </c>
      <c r="B21">
        <v>0.43099999999999999</v>
      </c>
      <c r="C21">
        <v>1</v>
      </c>
      <c r="D21">
        <v>1.75</v>
      </c>
      <c r="E21" s="3">
        <f t="shared" si="0"/>
        <v>284.60000000000002</v>
      </c>
      <c r="G21" s="3"/>
    </row>
    <row r="22" spans="1:9" x14ac:dyDescent="0.3">
      <c r="A22" s="1">
        <v>0.74027777777777781</v>
      </c>
      <c r="B22">
        <v>0.43099999999999999</v>
      </c>
      <c r="C22" s="2" t="s">
        <v>19</v>
      </c>
      <c r="D22">
        <v>1.96</v>
      </c>
      <c r="E22" s="3">
        <f t="shared" si="0"/>
        <v>314.42</v>
      </c>
      <c r="G22" s="3"/>
    </row>
    <row r="23" spans="1:9" x14ac:dyDescent="0.3">
      <c r="A23" s="1">
        <v>0.74722222222222223</v>
      </c>
      <c r="B23">
        <v>0.42599999999999999</v>
      </c>
      <c r="C23">
        <v>2</v>
      </c>
      <c r="E23" s="3"/>
      <c r="F23">
        <v>0.95499999999999996</v>
      </c>
      <c r="G23" s="3">
        <f t="shared" ref="G23:G24" si="2">169.5*F23+129.7</f>
        <v>291.57249999999999</v>
      </c>
    </row>
    <row r="24" spans="1:9" x14ac:dyDescent="0.3">
      <c r="A24" s="1">
        <v>0.75416666666666665</v>
      </c>
      <c r="B24">
        <v>0.42399999999999999</v>
      </c>
      <c r="C24">
        <v>10</v>
      </c>
      <c r="E24" s="3"/>
      <c r="F24">
        <v>0.99</v>
      </c>
      <c r="G24" s="3">
        <f t="shared" si="2"/>
        <v>297.505</v>
      </c>
    </row>
    <row r="25" spans="1:9" x14ac:dyDescent="0.3">
      <c r="A25" s="1">
        <v>0.76111111111111107</v>
      </c>
      <c r="B25">
        <v>0.42699999999999999</v>
      </c>
      <c r="C25" s="2" t="s">
        <v>20</v>
      </c>
      <c r="D25">
        <v>1.675</v>
      </c>
      <c r="E25" s="3">
        <f t="shared" si="0"/>
        <v>273.95</v>
      </c>
      <c r="G25" s="3"/>
    </row>
    <row r="26" spans="1:9" x14ac:dyDescent="0.3">
      <c r="A26" s="1">
        <v>0.7680555555555556</v>
      </c>
      <c r="B26">
        <v>0.42899999999999999</v>
      </c>
      <c r="C26">
        <v>7</v>
      </c>
      <c r="D26">
        <v>1.72</v>
      </c>
      <c r="E26" s="3">
        <f t="shared" si="0"/>
        <v>280.34000000000003</v>
      </c>
      <c r="G26" s="3"/>
    </row>
    <row r="27" spans="1:9" x14ac:dyDescent="0.3">
      <c r="A27" s="1">
        <v>0.77500000000000002</v>
      </c>
      <c r="B27">
        <v>0.42299999999999999</v>
      </c>
      <c r="C27">
        <v>4</v>
      </c>
      <c r="D27">
        <v>1.72</v>
      </c>
      <c r="E27" s="3">
        <f t="shared" si="0"/>
        <v>280.34000000000003</v>
      </c>
      <c r="G27" s="3"/>
    </row>
    <row r="28" spans="1:9" x14ac:dyDescent="0.3">
      <c r="A28" s="1">
        <v>0.78194444444444444</v>
      </c>
      <c r="B28">
        <v>0.42299999999999999</v>
      </c>
      <c r="C28">
        <v>8</v>
      </c>
      <c r="D28">
        <v>1.77</v>
      </c>
      <c r="E28" s="3">
        <f t="shared" si="0"/>
        <v>287.44</v>
      </c>
      <c r="G28" s="3"/>
    </row>
    <row r="29" spans="1:9" x14ac:dyDescent="0.3">
      <c r="A29" s="1">
        <v>0.78888888888888886</v>
      </c>
      <c r="B29">
        <v>0.42799999999999999</v>
      </c>
      <c r="C29">
        <v>10</v>
      </c>
      <c r="D29">
        <v>1.72</v>
      </c>
      <c r="E29" s="3">
        <f t="shared" si="0"/>
        <v>280.34000000000003</v>
      </c>
      <c r="G29" s="3"/>
    </row>
    <row r="30" spans="1:9" x14ac:dyDescent="0.3">
      <c r="A30" s="1">
        <v>0.79583333333333328</v>
      </c>
      <c r="B30">
        <v>0.42599999999999999</v>
      </c>
      <c r="C30">
        <v>5</v>
      </c>
      <c r="D30">
        <v>1.69</v>
      </c>
      <c r="E30" s="3">
        <f t="shared" si="0"/>
        <v>276.08</v>
      </c>
      <c r="G30" s="3"/>
    </row>
    <row r="31" spans="1:9" x14ac:dyDescent="0.3">
      <c r="A31" s="1">
        <v>0.80763888888888891</v>
      </c>
      <c r="B31">
        <v>0.44700000000000001</v>
      </c>
      <c r="E31" s="3"/>
      <c r="G31" s="3"/>
    </row>
    <row r="32" spans="1:9" x14ac:dyDescent="0.3">
      <c r="A32" s="1">
        <v>0.81111111111111112</v>
      </c>
      <c r="B32">
        <v>0.42799999999999999</v>
      </c>
      <c r="C32" s="2" t="s">
        <v>21</v>
      </c>
      <c r="E32" s="3"/>
      <c r="F32">
        <v>0.85</v>
      </c>
      <c r="G32" s="3">
        <f t="shared" ref="G32:G35" si="3">169.5*F32+129.7</f>
        <v>273.77499999999998</v>
      </c>
    </row>
    <row r="33" spans="1:7" x14ac:dyDescent="0.3">
      <c r="A33" s="1">
        <v>0.81666666666666665</v>
      </c>
      <c r="B33">
        <v>0.44600000000000001</v>
      </c>
      <c r="C33" s="2" t="s">
        <v>22</v>
      </c>
      <c r="E33" s="3"/>
      <c r="F33">
        <v>0.78700000000000003</v>
      </c>
      <c r="G33" s="3">
        <f t="shared" si="3"/>
        <v>263.09649999999999</v>
      </c>
    </row>
    <row r="34" spans="1:7" x14ac:dyDescent="0.3">
      <c r="A34" s="1">
        <v>0.82361111111111107</v>
      </c>
      <c r="B34">
        <v>0.45200000000000001</v>
      </c>
      <c r="E34" s="3"/>
      <c r="G34" s="3"/>
    </row>
    <row r="35" spans="1:7" x14ac:dyDescent="0.3">
      <c r="A35" s="1">
        <v>0.8305555555555556</v>
      </c>
      <c r="B35">
        <v>0.48399999999999999</v>
      </c>
      <c r="C35" s="2" t="s">
        <v>23</v>
      </c>
      <c r="E35" s="3"/>
      <c r="F35">
        <v>0.77</v>
      </c>
      <c r="G35" s="3">
        <f t="shared" si="3"/>
        <v>260.21500000000003</v>
      </c>
    </row>
    <row r="36" spans="1:7" x14ac:dyDescent="0.3">
      <c r="A36" s="1">
        <v>0.84444444444444444</v>
      </c>
      <c r="B36">
        <v>0.42099999999999999</v>
      </c>
      <c r="E36" s="3"/>
      <c r="G36" s="3"/>
    </row>
    <row r="37" spans="1:7" x14ac:dyDescent="0.3">
      <c r="E37" s="3"/>
      <c r="G37" s="3"/>
    </row>
    <row r="38" spans="1:7" x14ac:dyDescent="0.3">
      <c r="E38" s="3"/>
      <c r="G38" s="3"/>
    </row>
    <row r="39" spans="1:7" x14ac:dyDescent="0.3">
      <c r="E39" s="3"/>
      <c r="G39" s="3"/>
    </row>
    <row r="40" spans="1:7" x14ac:dyDescent="0.3">
      <c r="E40" s="3"/>
      <c r="G40" s="3"/>
    </row>
    <row r="41" spans="1:7" x14ac:dyDescent="0.3">
      <c r="E41" s="3"/>
      <c r="G41" s="3"/>
    </row>
    <row r="42" spans="1:7" x14ac:dyDescent="0.3">
      <c r="E42" s="3"/>
      <c r="G42" s="3"/>
    </row>
    <row r="43" spans="1:7" x14ac:dyDescent="0.3">
      <c r="E43" s="3"/>
      <c r="G43" s="3"/>
    </row>
    <row r="44" spans="1:7" x14ac:dyDescent="0.3">
      <c r="E44" s="3"/>
      <c r="G44" s="3"/>
    </row>
    <row r="45" spans="1:7" x14ac:dyDescent="0.3">
      <c r="E45" s="3"/>
      <c r="G45" s="3"/>
    </row>
    <row r="46" spans="1:7" x14ac:dyDescent="0.3">
      <c r="E46" s="3"/>
      <c r="G46" s="3"/>
    </row>
    <row r="47" spans="1:7" x14ac:dyDescent="0.3">
      <c r="E47" s="3"/>
      <c r="G47" s="3"/>
    </row>
    <row r="48" spans="1:7" x14ac:dyDescent="0.3">
      <c r="E48" s="3"/>
      <c r="G48" s="3"/>
    </row>
    <row r="49" spans="5:7" x14ac:dyDescent="0.3">
      <c r="E49" s="3"/>
      <c r="G49" s="3"/>
    </row>
    <row r="50" spans="5:7" x14ac:dyDescent="0.3">
      <c r="E50" s="3"/>
      <c r="G50" s="3"/>
    </row>
    <row r="51" spans="5:7" x14ac:dyDescent="0.3">
      <c r="E51" s="3"/>
      <c r="G51" s="3"/>
    </row>
    <row r="52" spans="5:7" x14ac:dyDescent="0.3">
      <c r="E52" s="3"/>
      <c r="G52" s="3"/>
    </row>
    <row r="53" spans="5:7" x14ac:dyDescent="0.3">
      <c r="E53" s="3"/>
      <c r="G53" s="3"/>
    </row>
    <row r="54" spans="5:7" x14ac:dyDescent="0.3">
      <c r="E54" s="3"/>
      <c r="G54" s="3"/>
    </row>
    <row r="55" spans="5:7" x14ac:dyDescent="0.3">
      <c r="E55" s="3"/>
      <c r="G55" s="3"/>
    </row>
    <row r="56" spans="5:7" x14ac:dyDescent="0.3">
      <c r="E56" s="3"/>
      <c r="G56" s="3"/>
    </row>
    <row r="57" spans="5:7" x14ac:dyDescent="0.3">
      <c r="E57" s="3"/>
      <c r="G57" s="3"/>
    </row>
    <row r="58" spans="5:7" x14ac:dyDescent="0.3">
      <c r="E58" s="3"/>
      <c r="G58" s="3"/>
    </row>
    <row r="59" spans="5:7" x14ac:dyDescent="0.3">
      <c r="E59" s="3"/>
      <c r="G59" s="3"/>
    </row>
    <row r="60" spans="5:7" x14ac:dyDescent="0.3">
      <c r="E60" s="3"/>
      <c r="G60" s="3"/>
    </row>
    <row r="61" spans="5:7" x14ac:dyDescent="0.3">
      <c r="E61" s="3"/>
      <c r="G61" s="3"/>
    </row>
    <row r="62" spans="5:7" x14ac:dyDescent="0.3">
      <c r="E62" s="3"/>
      <c r="G62" s="3"/>
    </row>
    <row r="63" spans="5:7" x14ac:dyDescent="0.3">
      <c r="E63" s="3"/>
      <c r="G63" s="3"/>
    </row>
    <row r="64" spans="5:7" x14ac:dyDescent="0.3">
      <c r="E64" s="3"/>
      <c r="G64" s="3"/>
    </row>
    <row r="65" spans="5:7" x14ac:dyDescent="0.3">
      <c r="E65" s="3"/>
      <c r="G6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9E60-808E-CF4F-BE75-FBDDD80080D0}">
  <dimension ref="A1:I60"/>
  <sheetViews>
    <sheetView tabSelected="1" topLeftCell="S11" workbookViewId="0">
      <selection activeCell="AH17" sqref="AH17"/>
    </sheetView>
  </sheetViews>
  <sheetFormatPr defaultColWidth="11.19921875" defaultRowHeight="15.6" x14ac:dyDescent="0.3"/>
  <sheetData>
    <row r="1" spans="1:9" x14ac:dyDescent="0.3">
      <c r="A1" t="s">
        <v>26</v>
      </c>
    </row>
    <row r="2" spans="1:9" x14ac:dyDescent="0.3">
      <c r="A2" t="s">
        <v>0</v>
      </c>
      <c r="B2" t="s">
        <v>6</v>
      </c>
      <c r="C2" t="s">
        <v>141</v>
      </c>
      <c r="D2" t="s">
        <v>15</v>
      </c>
      <c r="E2" t="s">
        <v>13</v>
      </c>
      <c r="F2" t="s">
        <v>15</v>
      </c>
      <c r="G2" t="s">
        <v>140</v>
      </c>
      <c r="H2" t="s">
        <v>15</v>
      </c>
    </row>
    <row r="3" spans="1:9" x14ac:dyDescent="0.3">
      <c r="A3" t="s">
        <v>1</v>
      </c>
      <c r="B3" t="s">
        <v>7</v>
      </c>
      <c r="C3" t="s">
        <v>8</v>
      </c>
      <c r="D3" t="s">
        <v>143</v>
      </c>
      <c r="E3" t="s">
        <v>14</v>
      </c>
      <c r="F3" t="s">
        <v>142</v>
      </c>
      <c r="G3" t="s">
        <v>14</v>
      </c>
      <c r="H3" t="s">
        <v>144</v>
      </c>
    </row>
    <row r="4" spans="1:9" x14ac:dyDescent="0.3">
      <c r="A4" s="1">
        <v>0.59236111111111112</v>
      </c>
      <c r="B4">
        <v>3</v>
      </c>
      <c r="C4">
        <v>1.72</v>
      </c>
      <c r="D4" s="3">
        <f>C4*140.2+48.3</f>
        <v>289.44399999999996</v>
      </c>
      <c r="F4" s="3"/>
    </row>
    <row r="5" spans="1:9" x14ac:dyDescent="0.3">
      <c r="A5" s="1">
        <v>0.59930555555555554</v>
      </c>
      <c r="B5">
        <v>3</v>
      </c>
      <c r="C5">
        <v>1.64</v>
      </c>
      <c r="D5" s="3">
        <f t="shared" ref="D5:D19" si="0">C5*140.2+48.3</f>
        <v>278.22799999999995</v>
      </c>
      <c r="F5" s="3"/>
    </row>
    <row r="6" spans="1:9" x14ac:dyDescent="0.3">
      <c r="A6" s="1">
        <v>0.60624999999999996</v>
      </c>
      <c r="B6">
        <v>10</v>
      </c>
      <c r="C6">
        <v>1.64</v>
      </c>
      <c r="D6" s="3">
        <f t="shared" si="0"/>
        <v>278.22799999999995</v>
      </c>
      <c r="F6" s="3"/>
    </row>
    <row r="7" spans="1:9" x14ac:dyDescent="0.3">
      <c r="A7" s="1">
        <v>0.61319444444444449</v>
      </c>
      <c r="B7">
        <v>8</v>
      </c>
      <c r="C7">
        <v>1.69</v>
      </c>
      <c r="D7" s="3">
        <f t="shared" si="0"/>
        <v>285.23799999999994</v>
      </c>
      <c r="F7" s="3"/>
    </row>
    <row r="8" spans="1:9" x14ac:dyDescent="0.3">
      <c r="A8" s="1">
        <v>0.62013888888888891</v>
      </c>
      <c r="B8">
        <v>6</v>
      </c>
      <c r="C8">
        <v>1.85</v>
      </c>
      <c r="D8" s="3">
        <f t="shared" si="0"/>
        <v>307.67</v>
      </c>
      <c r="F8" s="3"/>
    </row>
    <row r="9" spans="1:9" x14ac:dyDescent="0.3">
      <c r="A9" s="1">
        <v>0.62708333333333333</v>
      </c>
      <c r="B9">
        <v>6</v>
      </c>
      <c r="C9">
        <v>1.85</v>
      </c>
      <c r="D9" s="3">
        <f t="shared" si="0"/>
        <v>307.67</v>
      </c>
      <c r="F9" s="3"/>
    </row>
    <row r="10" spans="1:9" x14ac:dyDescent="0.3">
      <c r="A10" s="1">
        <v>0.63402777777777775</v>
      </c>
      <c r="B10" s="2">
        <v>4</v>
      </c>
      <c r="C10">
        <v>1.96</v>
      </c>
      <c r="D10" s="3">
        <f t="shared" si="0"/>
        <v>323.09199999999998</v>
      </c>
      <c r="F10" s="3"/>
    </row>
    <row r="11" spans="1:9" x14ac:dyDescent="0.3">
      <c r="A11" s="1">
        <v>0.64097222222222228</v>
      </c>
      <c r="B11">
        <v>7</v>
      </c>
      <c r="C11">
        <v>1.92</v>
      </c>
      <c r="D11" s="3">
        <f t="shared" si="0"/>
        <v>317.48399999999998</v>
      </c>
      <c r="F11" s="3"/>
    </row>
    <row r="12" spans="1:9" x14ac:dyDescent="0.3">
      <c r="A12" s="1">
        <v>0.64097222222222228</v>
      </c>
      <c r="B12">
        <v>5</v>
      </c>
      <c r="C12">
        <v>1.75</v>
      </c>
      <c r="D12" s="3">
        <f t="shared" si="0"/>
        <v>293.64999999999998</v>
      </c>
      <c r="F12" s="3"/>
    </row>
    <row r="13" spans="1:9" x14ac:dyDescent="0.3">
      <c r="A13" s="1">
        <v>0.6479166666666667</v>
      </c>
      <c r="B13">
        <v>6</v>
      </c>
      <c r="C13">
        <v>2.04</v>
      </c>
      <c r="D13" s="3">
        <f t="shared" si="0"/>
        <v>334.30799999999999</v>
      </c>
      <c r="F13" s="3"/>
    </row>
    <row r="14" spans="1:9" x14ac:dyDescent="0.3">
      <c r="A14" s="1">
        <v>0.65486111111111112</v>
      </c>
      <c r="B14" s="5" t="s">
        <v>27</v>
      </c>
      <c r="C14">
        <v>1.79</v>
      </c>
      <c r="D14" s="3">
        <f t="shared" si="0"/>
        <v>299.25799999999998</v>
      </c>
      <c r="F14" s="3"/>
      <c r="I14" t="s">
        <v>24</v>
      </c>
    </row>
    <row r="15" spans="1:9" x14ac:dyDescent="0.3">
      <c r="A15" s="1">
        <v>0.66180555555555554</v>
      </c>
      <c r="B15" s="2" t="s">
        <v>28</v>
      </c>
      <c r="C15">
        <v>1.96</v>
      </c>
      <c r="D15" s="3">
        <f t="shared" si="0"/>
        <v>323.09199999999998</v>
      </c>
      <c r="F15" s="3"/>
    </row>
    <row r="16" spans="1:9" x14ac:dyDescent="0.3">
      <c r="A16" s="1">
        <v>0.66874999999999996</v>
      </c>
      <c r="B16" s="2" t="s">
        <v>29</v>
      </c>
      <c r="C16">
        <v>1.79</v>
      </c>
      <c r="D16" s="3">
        <f t="shared" si="0"/>
        <v>299.25799999999998</v>
      </c>
      <c r="F16" s="3"/>
    </row>
    <row r="17" spans="1:9" x14ac:dyDescent="0.3">
      <c r="A17" s="1">
        <v>0.67569444444444449</v>
      </c>
      <c r="B17">
        <v>3</v>
      </c>
      <c r="C17">
        <v>2</v>
      </c>
      <c r="D17" s="3">
        <f t="shared" si="0"/>
        <v>328.7</v>
      </c>
      <c r="F17" s="3"/>
      <c r="I17" t="s">
        <v>24</v>
      </c>
    </row>
    <row r="18" spans="1:9" x14ac:dyDescent="0.3">
      <c r="A18" s="1">
        <v>0.68263888888888891</v>
      </c>
      <c r="B18">
        <v>9</v>
      </c>
      <c r="C18">
        <v>1.85</v>
      </c>
      <c r="D18" s="3">
        <f t="shared" si="0"/>
        <v>307.67</v>
      </c>
      <c r="F18" s="3"/>
    </row>
    <row r="19" spans="1:9" x14ac:dyDescent="0.3">
      <c r="A19" s="1">
        <v>0.68958333333333333</v>
      </c>
      <c r="B19">
        <v>1</v>
      </c>
      <c r="C19">
        <v>1.96</v>
      </c>
      <c r="D19" s="3">
        <f t="shared" si="0"/>
        <v>323.09199999999998</v>
      </c>
      <c r="F19" s="3"/>
    </row>
    <row r="21" spans="1:9" x14ac:dyDescent="0.3">
      <c r="A21" s="1">
        <v>0.68958333333333333</v>
      </c>
      <c r="B21" t="s">
        <v>138</v>
      </c>
      <c r="G21">
        <v>2.7080000000000002</v>
      </c>
      <c r="H21" s="3">
        <f>G21*79.4+85.6</f>
        <v>300.61520000000002</v>
      </c>
    </row>
    <row r="23" spans="1:9" x14ac:dyDescent="0.3">
      <c r="A23" s="1">
        <v>0.69652777777777775</v>
      </c>
      <c r="B23">
        <v>7</v>
      </c>
      <c r="D23" s="3"/>
      <c r="E23">
        <v>0.85499999999999998</v>
      </c>
      <c r="F23" s="3">
        <f>181.8*E23+135.5</f>
        <v>290.93899999999996</v>
      </c>
    </row>
    <row r="24" spans="1:9" x14ac:dyDescent="0.3">
      <c r="A24" s="1">
        <v>0.69652777777777775</v>
      </c>
      <c r="B24">
        <v>8</v>
      </c>
      <c r="D24" s="3"/>
      <c r="E24">
        <v>0.71</v>
      </c>
      <c r="F24" s="3">
        <f t="shared" ref="F24:F25" si="1">181.8*E24+135.5</f>
        <v>264.57799999999997</v>
      </c>
    </row>
    <row r="25" spans="1:9" x14ac:dyDescent="0.3">
      <c r="A25" s="1">
        <v>0.69652777777777775</v>
      </c>
      <c r="B25" s="2">
        <v>9</v>
      </c>
      <c r="D25" s="3"/>
      <c r="E25">
        <v>0.82</v>
      </c>
      <c r="F25" s="3">
        <f t="shared" si="1"/>
        <v>284.57600000000002</v>
      </c>
    </row>
    <row r="26" spans="1:9" x14ac:dyDescent="0.3">
      <c r="A26" s="1">
        <v>0.70347222222222228</v>
      </c>
      <c r="B26" s="2" t="s">
        <v>30</v>
      </c>
      <c r="C26">
        <v>1.75</v>
      </c>
      <c r="D26" s="3">
        <f t="shared" ref="D26:D52" si="2">C26*140.2+48.3</f>
        <v>293.64999999999998</v>
      </c>
      <c r="F26" s="3"/>
    </row>
    <row r="27" spans="1:9" x14ac:dyDescent="0.3">
      <c r="A27" s="1">
        <v>0.7104166666666667</v>
      </c>
      <c r="B27">
        <v>6</v>
      </c>
      <c r="C27">
        <v>2.08</v>
      </c>
      <c r="D27" s="3">
        <f t="shared" si="2"/>
        <v>339.916</v>
      </c>
      <c r="F27" s="3"/>
    </row>
    <row r="28" spans="1:9" x14ac:dyDescent="0.3">
      <c r="A28" s="1">
        <v>0.71736111111111112</v>
      </c>
      <c r="B28" s="2" t="s">
        <v>31</v>
      </c>
      <c r="C28">
        <v>1.92</v>
      </c>
      <c r="D28" s="3">
        <f t="shared" si="2"/>
        <v>317.48399999999998</v>
      </c>
      <c r="F28" s="3"/>
    </row>
    <row r="29" spans="1:9" x14ac:dyDescent="0.3">
      <c r="A29" s="1">
        <v>0.72430555555555554</v>
      </c>
      <c r="B29" s="2">
        <v>3</v>
      </c>
      <c r="C29">
        <v>1.79</v>
      </c>
      <c r="D29" s="3">
        <f t="shared" si="2"/>
        <v>299.25799999999998</v>
      </c>
      <c r="F29" s="3"/>
    </row>
    <row r="30" spans="1:9" x14ac:dyDescent="0.3">
      <c r="A30" s="1">
        <v>0.73124999999999996</v>
      </c>
      <c r="B30" s="2">
        <v>4</v>
      </c>
      <c r="C30">
        <v>1.82</v>
      </c>
      <c r="D30" s="3">
        <f t="shared" si="2"/>
        <v>303.464</v>
      </c>
      <c r="F30" s="3"/>
    </row>
    <row r="31" spans="1:9" x14ac:dyDescent="0.3">
      <c r="A31" s="1">
        <v>0.73124999999999996</v>
      </c>
      <c r="B31" s="2">
        <v>6</v>
      </c>
      <c r="C31">
        <v>1.72</v>
      </c>
      <c r="D31" s="3">
        <f t="shared" si="2"/>
        <v>289.44399999999996</v>
      </c>
      <c r="F31" s="3"/>
    </row>
    <row r="32" spans="1:9" x14ac:dyDescent="0.3">
      <c r="A32" s="1">
        <v>0.73819444444444449</v>
      </c>
      <c r="B32" s="2">
        <v>6</v>
      </c>
      <c r="C32">
        <v>1.82</v>
      </c>
      <c r="D32" s="3">
        <f t="shared" si="2"/>
        <v>303.464</v>
      </c>
      <c r="F32" s="3"/>
    </row>
    <row r="33" spans="1:8" x14ac:dyDescent="0.3">
      <c r="A33" s="1">
        <v>0.74513888888888891</v>
      </c>
      <c r="B33" s="2">
        <v>6</v>
      </c>
      <c r="C33">
        <v>1.61</v>
      </c>
      <c r="D33" s="3">
        <f t="shared" si="2"/>
        <v>274.02199999999999</v>
      </c>
      <c r="F33" s="3"/>
    </row>
    <row r="34" spans="1:8" x14ac:dyDescent="0.3">
      <c r="A34" s="1">
        <v>0.75208333333333333</v>
      </c>
      <c r="B34" s="2">
        <v>8</v>
      </c>
      <c r="C34">
        <v>1.61</v>
      </c>
      <c r="D34" s="3">
        <f t="shared" si="2"/>
        <v>274.02199999999999</v>
      </c>
      <c r="F34" s="3"/>
    </row>
    <row r="35" spans="1:8" x14ac:dyDescent="0.3">
      <c r="A35" s="1">
        <v>0.75902777777777775</v>
      </c>
      <c r="B35" s="2">
        <v>2</v>
      </c>
      <c r="C35">
        <v>1.72</v>
      </c>
      <c r="D35" s="3">
        <f t="shared" si="2"/>
        <v>289.44399999999996</v>
      </c>
      <c r="F35" s="3"/>
    </row>
    <row r="36" spans="1:8" x14ac:dyDescent="0.3">
      <c r="A36" s="1">
        <v>0.76597222222222228</v>
      </c>
      <c r="B36" s="2">
        <v>1</v>
      </c>
      <c r="C36">
        <v>1.69</v>
      </c>
      <c r="D36" s="3">
        <f t="shared" si="2"/>
        <v>285.23799999999994</v>
      </c>
      <c r="F36" s="3"/>
    </row>
    <row r="37" spans="1:8" x14ac:dyDescent="0.3">
      <c r="A37" s="1">
        <v>0.7729166666666667</v>
      </c>
      <c r="B37" s="2">
        <v>5</v>
      </c>
      <c r="C37">
        <v>1.69</v>
      </c>
      <c r="D37" s="3">
        <f t="shared" si="2"/>
        <v>285.23799999999994</v>
      </c>
      <c r="E37">
        <v>0.68500000000000005</v>
      </c>
      <c r="F37" s="3">
        <f t="shared" ref="F37:F38" si="3">181.8*E37+135.5</f>
        <v>260.03300000000002</v>
      </c>
    </row>
    <row r="38" spans="1:8" x14ac:dyDescent="0.3">
      <c r="A38" s="1">
        <v>0.7729166666666667</v>
      </c>
      <c r="B38" s="2">
        <v>9</v>
      </c>
      <c r="C38">
        <v>1.69</v>
      </c>
      <c r="D38" s="3">
        <f t="shared" si="2"/>
        <v>285.23799999999994</v>
      </c>
      <c r="E38">
        <v>0.61699999999999999</v>
      </c>
      <c r="F38" s="3">
        <f t="shared" si="3"/>
        <v>247.67060000000001</v>
      </c>
    </row>
    <row r="39" spans="1:8" x14ac:dyDescent="0.3">
      <c r="A39" s="1">
        <v>0.77777777777777779</v>
      </c>
      <c r="B39" s="2">
        <v>2</v>
      </c>
      <c r="C39">
        <v>1.69</v>
      </c>
      <c r="D39" s="3">
        <f t="shared" si="2"/>
        <v>285.23799999999994</v>
      </c>
      <c r="F39" s="3"/>
    </row>
    <row r="40" spans="1:8" x14ac:dyDescent="0.3">
      <c r="A40" s="1">
        <v>0.77986111111111112</v>
      </c>
      <c r="B40" s="2">
        <v>1</v>
      </c>
      <c r="C40">
        <v>1.72</v>
      </c>
      <c r="D40" s="3">
        <f t="shared" si="2"/>
        <v>289.44399999999996</v>
      </c>
      <c r="E40" s="3"/>
      <c r="H40" s="3"/>
    </row>
    <row r="41" spans="1:8" x14ac:dyDescent="0.3">
      <c r="A41" s="1">
        <v>0.77986111111111112</v>
      </c>
      <c r="B41" s="2">
        <v>9</v>
      </c>
      <c r="C41">
        <v>1.85</v>
      </c>
      <c r="D41" s="3">
        <f t="shared" si="2"/>
        <v>307.67</v>
      </c>
      <c r="E41" s="3"/>
      <c r="H41" s="3"/>
    </row>
    <row r="42" spans="1:8" x14ac:dyDescent="0.3">
      <c r="A42" s="1">
        <v>0.78680555555555554</v>
      </c>
      <c r="B42" s="2">
        <v>1</v>
      </c>
      <c r="C42">
        <v>1.85</v>
      </c>
      <c r="D42" s="3">
        <f t="shared" si="2"/>
        <v>307.67</v>
      </c>
      <c r="E42" s="3"/>
      <c r="H42" s="3"/>
    </row>
    <row r="43" spans="1:8" x14ac:dyDescent="0.3">
      <c r="A43" s="1">
        <v>0.79236111111111107</v>
      </c>
      <c r="B43" s="2">
        <v>5</v>
      </c>
      <c r="C43">
        <v>1.79</v>
      </c>
      <c r="D43" s="3">
        <f t="shared" si="2"/>
        <v>299.25799999999998</v>
      </c>
      <c r="E43" s="3"/>
      <c r="H43" s="3"/>
    </row>
    <row r="44" spans="1:8" x14ac:dyDescent="0.3">
      <c r="A44" s="1">
        <v>0.79305555555555551</v>
      </c>
      <c r="B44" s="2">
        <v>4</v>
      </c>
      <c r="C44">
        <v>1.85</v>
      </c>
      <c r="D44" s="3">
        <f t="shared" si="2"/>
        <v>307.67</v>
      </c>
      <c r="E44" s="3"/>
      <c r="H44" s="3"/>
    </row>
    <row r="45" spans="1:8" x14ac:dyDescent="0.3">
      <c r="A45" s="1">
        <v>0.79305555555555551</v>
      </c>
      <c r="B45" s="2">
        <v>6</v>
      </c>
      <c r="C45">
        <v>1.75</v>
      </c>
      <c r="D45" s="3">
        <f t="shared" si="2"/>
        <v>293.64999999999998</v>
      </c>
    </row>
    <row r="46" spans="1:8" x14ac:dyDescent="0.3">
      <c r="A46" s="1">
        <v>0.79374999999999996</v>
      </c>
      <c r="B46" s="2">
        <v>3</v>
      </c>
      <c r="C46">
        <v>1.85</v>
      </c>
      <c r="D46" s="3">
        <f t="shared" si="2"/>
        <v>307.67</v>
      </c>
    </row>
    <row r="47" spans="1:8" x14ac:dyDescent="0.3">
      <c r="A47" s="1">
        <v>0.80069444444444449</v>
      </c>
      <c r="B47" s="2" t="s">
        <v>16</v>
      </c>
      <c r="C47">
        <v>1.85</v>
      </c>
      <c r="D47" s="3">
        <f t="shared" si="2"/>
        <v>307.67</v>
      </c>
    </row>
    <row r="48" spans="1:8" x14ac:dyDescent="0.3">
      <c r="A48" s="1">
        <v>0.80625000000000002</v>
      </c>
      <c r="B48" s="2">
        <v>7</v>
      </c>
      <c r="C48">
        <v>1.85</v>
      </c>
      <c r="D48" s="3">
        <f t="shared" si="2"/>
        <v>307.67</v>
      </c>
    </row>
    <row r="49" spans="1:8" x14ac:dyDescent="0.3">
      <c r="A49" s="1">
        <v>0.81458333333333333</v>
      </c>
      <c r="B49" s="2">
        <v>3</v>
      </c>
      <c r="C49">
        <v>1.75</v>
      </c>
      <c r="D49" s="3">
        <f t="shared" si="2"/>
        <v>293.64999999999998</v>
      </c>
    </row>
    <row r="50" spans="1:8" x14ac:dyDescent="0.3">
      <c r="A50" s="1">
        <v>0.81458333333333333</v>
      </c>
      <c r="B50" s="2">
        <v>3</v>
      </c>
      <c r="C50">
        <v>1.85</v>
      </c>
      <c r="D50" s="3">
        <f t="shared" si="2"/>
        <v>307.67</v>
      </c>
    </row>
    <row r="51" spans="1:8" x14ac:dyDescent="0.3">
      <c r="A51" s="1">
        <v>0.82152777777777775</v>
      </c>
      <c r="B51" s="2">
        <v>3</v>
      </c>
      <c r="C51">
        <v>1.82</v>
      </c>
      <c r="D51" s="3">
        <f t="shared" si="2"/>
        <v>303.464</v>
      </c>
    </row>
    <row r="52" spans="1:8" x14ac:dyDescent="0.3">
      <c r="A52" s="1">
        <v>0.82847222222222228</v>
      </c>
      <c r="B52" s="2">
        <v>3</v>
      </c>
      <c r="C52">
        <v>1.83</v>
      </c>
      <c r="D52" s="3">
        <f t="shared" si="2"/>
        <v>304.86599999999999</v>
      </c>
    </row>
    <row r="53" spans="1:8" x14ac:dyDescent="0.3">
      <c r="E53" t="s">
        <v>139</v>
      </c>
    </row>
    <row r="54" spans="1:8" x14ac:dyDescent="0.3">
      <c r="A54" s="1">
        <v>0.83750000000000002</v>
      </c>
      <c r="B54" s="2">
        <v>8</v>
      </c>
      <c r="D54" s="3"/>
      <c r="G54">
        <v>2.44</v>
      </c>
      <c r="H54" s="3">
        <v>279</v>
      </c>
    </row>
    <row r="56" spans="1:8" x14ac:dyDescent="0.3">
      <c r="A56" s="1">
        <v>0.83750000000000002</v>
      </c>
      <c r="B56" s="2">
        <v>6</v>
      </c>
      <c r="D56" s="3"/>
      <c r="G56">
        <v>2.34</v>
      </c>
      <c r="H56">
        <v>271</v>
      </c>
    </row>
    <row r="58" spans="1:8" x14ac:dyDescent="0.3">
      <c r="A58" s="1">
        <v>0.83750000000000002</v>
      </c>
      <c r="B58" s="2">
        <v>8</v>
      </c>
      <c r="D58" s="3"/>
      <c r="E58">
        <v>0.82</v>
      </c>
      <c r="F58">
        <v>284</v>
      </c>
    </row>
    <row r="60" spans="1:8" x14ac:dyDescent="0.3">
      <c r="A60" s="1">
        <v>0.84236111111111112</v>
      </c>
      <c r="B60" s="2">
        <v>7</v>
      </c>
      <c r="C60">
        <v>1.63</v>
      </c>
      <c r="D60" s="3">
        <f>C60*140.2+48.3</f>
        <v>276.82599999999996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ACD4-AA39-7C40-86A6-F9AF8E48D160}">
  <dimension ref="A1:U308"/>
  <sheetViews>
    <sheetView topLeftCell="A10" workbookViewId="0">
      <selection activeCell="F21" sqref="F21"/>
    </sheetView>
  </sheetViews>
  <sheetFormatPr defaultColWidth="11.19921875" defaultRowHeight="15.6" x14ac:dyDescent="0.3"/>
  <sheetData>
    <row r="1" spans="1:21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N1" t="s">
        <v>118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</row>
    <row r="2" spans="1:21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N2" t="s">
        <v>119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</row>
    <row r="3" spans="1:21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s="4">
        <v>45386</v>
      </c>
      <c r="G3" t="s">
        <v>50</v>
      </c>
      <c r="N3" t="s">
        <v>120</v>
      </c>
      <c r="O3" t="s">
        <v>45</v>
      </c>
      <c r="P3" t="s">
        <v>46</v>
      </c>
      <c r="Q3" t="s">
        <v>47</v>
      </c>
      <c r="R3" t="s">
        <v>48</v>
      </c>
      <c r="S3" s="4" t="s">
        <v>49</v>
      </c>
      <c r="T3" s="4">
        <v>45386</v>
      </c>
      <c r="U3" t="s">
        <v>121</v>
      </c>
    </row>
    <row r="4" spans="1:21" x14ac:dyDescent="0.3">
      <c r="N4" t="s">
        <v>122</v>
      </c>
    </row>
    <row r="5" spans="1:21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N5" t="s">
        <v>123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</row>
    <row r="6" spans="1:21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>
        <v>-256</v>
      </c>
      <c r="N6" t="s">
        <v>124</v>
      </c>
      <c r="O6" t="s">
        <v>58</v>
      </c>
      <c r="P6" t="s">
        <v>59</v>
      </c>
      <c r="Q6" t="s">
        <v>60</v>
      </c>
      <c r="R6" t="s">
        <v>61</v>
      </c>
      <c r="S6" t="s">
        <v>62</v>
      </c>
      <c r="T6">
        <v>-256</v>
      </c>
    </row>
    <row r="7" spans="1:21" x14ac:dyDescent="0.3">
      <c r="N7" t="s">
        <v>122</v>
      </c>
    </row>
    <row r="8" spans="1:21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N8" t="s">
        <v>125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68</v>
      </c>
      <c r="U8" t="s">
        <v>69</v>
      </c>
    </row>
    <row r="9" spans="1:21" x14ac:dyDescent="0.3">
      <c r="A9">
        <v>0</v>
      </c>
      <c r="B9" t="s">
        <v>70</v>
      </c>
      <c r="C9" s="6">
        <v>0</v>
      </c>
      <c r="D9" t="s">
        <v>71</v>
      </c>
      <c r="E9" t="s">
        <v>72</v>
      </c>
      <c r="F9" s="4">
        <v>45391</v>
      </c>
      <c r="G9" t="s">
        <v>73</v>
      </c>
      <c r="N9" t="s">
        <v>126</v>
      </c>
      <c r="O9">
        <v>0</v>
      </c>
      <c r="P9" t="s">
        <v>70</v>
      </c>
      <c r="Q9" s="6">
        <v>0</v>
      </c>
      <c r="R9" t="s">
        <v>71</v>
      </c>
      <c r="S9" s="4" t="s">
        <v>72</v>
      </c>
      <c r="T9" s="4">
        <v>45391</v>
      </c>
      <c r="U9" t="s">
        <v>73</v>
      </c>
    </row>
    <row r="10" spans="1:21" x14ac:dyDescent="0.3">
      <c r="N10" t="s">
        <v>122</v>
      </c>
    </row>
    <row r="11" spans="1:21" x14ac:dyDescent="0.3">
      <c r="A11" t="s">
        <v>74</v>
      </c>
      <c r="B11" t="s">
        <v>75</v>
      </c>
      <c r="C11" t="s">
        <v>51</v>
      </c>
      <c r="N11" t="s">
        <v>127</v>
      </c>
      <c r="O11" t="s">
        <v>74</v>
      </c>
      <c r="P11" t="s">
        <v>75</v>
      </c>
      <c r="Q11" t="s">
        <v>51</v>
      </c>
    </row>
    <row r="12" spans="1:21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N12" t="s">
        <v>128</v>
      </c>
      <c r="O12" t="s">
        <v>76</v>
      </c>
      <c r="P12" t="s">
        <v>77</v>
      </c>
      <c r="Q12" t="s">
        <v>78</v>
      </c>
      <c r="R12" t="s">
        <v>79</v>
      </c>
      <c r="S12" t="s">
        <v>80</v>
      </c>
      <c r="T12" t="s">
        <v>81</v>
      </c>
      <c r="U12" t="s">
        <v>82</v>
      </c>
    </row>
    <row r="13" spans="1:21" x14ac:dyDescent="0.3">
      <c r="A13" t="s">
        <v>83</v>
      </c>
      <c r="B13" t="e" cm="1">
        <f t="array" ref="B13">- Pe</f>
        <v>#NAME?</v>
      </c>
      <c r="C13" t="s">
        <v>84</v>
      </c>
      <c r="D13" t="s">
        <v>85</v>
      </c>
      <c r="E13" t="s">
        <v>86</v>
      </c>
      <c r="N13" t="s">
        <v>129</v>
      </c>
      <c r="P13" t="e" cm="1">
        <f t="array" ref="P13">- Pea</f>
        <v>#NAME?</v>
      </c>
      <c r="Q13" t="s">
        <v>130</v>
      </c>
      <c r="R13" t="s">
        <v>131</v>
      </c>
      <c r="S13" t="e" cm="1">
        <f t="array" ref="S13">-layer</f>
        <v>#NAME?</v>
      </c>
    </row>
    <row r="14" spans="1:21" x14ac:dyDescent="0.3">
      <c r="N14" t="s">
        <v>122</v>
      </c>
    </row>
    <row r="15" spans="1:21" x14ac:dyDescent="0.3"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N15" t="s">
        <v>132</v>
      </c>
      <c r="P15" t="s">
        <v>87</v>
      </c>
      <c r="Q15" t="s">
        <v>88</v>
      </c>
      <c r="R15" t="s">
        <v>89</v>
      </c>
      <c r="S15" t="s">
        <v>90</v>
      </c>
      <c r="T15" t="s">
        <v>91</v>
      </c>
      <c r="U15" t="s">
        <v>92</v>
      </c>
    </row>
    <row r="16" spans="1:21" x14ac:dyDescent="0.3">
      <c r="A16" t="s">
        <v>32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N16" t="s">
        <v>133</v>
      </c>
      <c r="O16" t="s">
        <v>32</v>
      </c>
      <c r="P16" t="s">
        <v>93</v>
      </c>
      <c r="Q16" t="s">
        <v>94</v>
      </c>
      <c r="R16" t="s">
        <v>95</v>
      </c>
      <c r="S16" t="s">
        <v>96</v>
      </c>
      <c r="T16" t="s">
        <v>97</v>
      </c>
      <c r="U16" t="s">
        <v>98</v>
      </c>
    </row>
    <row r="17" spans="1:21" x14ac:dyDescent="0.3">
      <c r="A17" t="s">
        <v>38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N17" t="s">
        <v>134</v>
      </c>
      <c r="O17" t="s">
        <v>38</v>
      </c>
      <c r="P17" t="s">
        <v>99</v>
      </c>
      <c r="Q17" t="s">
        <v>100</v>
      </c>
      <c r="R17" t="s">
        <v>101</v>
      </c>
      <c r="S17" t="s">
        <v>102</v>
      </c>
      <c r="T17" t="s">
        <v>103</v>
      </c>
      <c r="U17" t="s">
        <v>104</v>
      </c>
    </row>
    <row r="18" spans="1:21" x14ac:dyDescent="0.3"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N18" t="s">
        <v>135</v>
      </c>
      <c r="P18" t="s">
        <v>105</v>
      </c>
      <c r="Q18" t="s">
        <v>106</v>
      </c>
      <c r="R18" t="s">
        <v>107</v>
      </c>
      <c r="S18" t="s">
        <v>108</v>
      </c>
      <c r="T18" t="s">
        <v>109</v>
      </c>
      <c r="U18" t="s">
        <v>110</v>
      </c>
    </row>
    <row r="19" spans="1:21" x14ac:dyDescent="0.3">
      <c r="E19" t="s">
        <v>145</v>
      </c>
      <c r="N19" t="s">
        <v>122</v>
      </c>
    </row>
    <row r="20" spans="1:21" x14ac:dyDescent="0.3">
      <c r="B20" t="s">
        <v>111</v>
      </c>
      <c r="D20" t="s">
        <v>112</v>
      </c>
      <c r="E20" t="s">
        <v>113</v>
      </c>
      <c r="F20" t="s">
        <v>114</v>
      </c>
      <c r="N20" t="s">
        <v>136</v>
      </c>
      <c r="R20" t="s">
        <v>112</v>
      </c>
      <c r="S20" t="s">
        <v>137</v>
      </c>
      <c r="T20" t="s">
        <v>114</v>
      </c>
    </row>
    <row r="21" spans="1:21" x14ac:dyDescent="0.3">
      <c r="A21" t="s">
        <v>115</v>
      </c>
      <c r="B21" s="8">
        <v>0</v>
      </c>
      <c r="C21" t="s">
        <v>116</v>
      </c>
      <c r="D21">
        <v>50</v>
      </c>
      <c r="E21">
        <v>267.3</v>
      </c>
      <c r="F21" t="s">
        <v>117</v>
      </c>
      <c r="N21" s="7">
        <v>45390</v>
      </c>
      <c r="O21" t="s">
        <v>115</v>
      </c>
      <c r="P21" s="1">
        <v>0</v>
      </c>
      <c r="Q21" t="s">
        <v>116</v>
      </c>
      <c r="R21">
        <v>50</v>
      </c>
      <c r="S21">
        <v>110</v>
      </c>
      <c r="T21" t="s">
        <v>117</v>
      </c>
    </row>
    <row r="22" spans="1:21" x14ac:dyDescent="0.3">
      <c r="A22" t="s">
        <v>115</v>
      </c>
      <c r="B22" s="8">
        <v>3.472222222222222E-3</v>
      </c>
      <c r="C22" t="s">
        <v>116</v>
      </c>
      <c r="D22">
        <v>100</v>
      </c>
      <c r="E22">
        <v>278.39999999999998</v>
      </c>
      <c r="F22" t="s">
        <v>117</v>
      </c>
      <c r="N22" s="7">
        <v>45390</v>
      </c>
      <c r="O22" t="s">
        <v>115</v>
      </c>
      <c r="P22" s="1">
        <v>3.472222222222222E-3</v>
      </c>
      <c r="Q22" t="s">
        <v>116</v>
      </c>
      <c r="R22">
        <v>100</v>
      </c>
      <c r="S22">
        <v>89.9</v>
      </c>
      <c r="T22" t="s">
        <v>117</v>
      </c>
    </row>
    <row r="23" spans="1:21" x14ac:dyDescent="0.3">
      <c r="A23" t="s">
        <v>115</v>
      </c>
      <c r="B23" s="8">
        <v>6.9444444444444441E-3</v>
      </c>
      <c r="C23" t="s">
        <v>116</v>
      </c>
      <c r="D23">
        <v>100</v>
      </c>
      <c r="E23">
        <v>260</v>
      </c>
      <c r="F23" t="s">
        <v>117</v>
      </c>
      <c r="N23" s="7">
        <v>45390</v>
      </c>
      <c r="O23" t="s">
        <v>115</v>
      </c>
      <c r="P23" s="1">
        <v>6.9444444444444441E-3</v>
      </c>
      <c r="Q23" t="s">
        <v>116</v>
      </c>
      <c r="R23">
        <v>100</v>
      </c>
      <c r="S23">
        <v>110</v>
      </c>
      <c r="T23" t="s">
        <v>117</v>
      </c>
    </row>
    <row r="24" spans="1:21" x14ac:dyDescent="0.3">
      <c r="A24" t="s">
        <v>115</v>
      </c>
      <c r="B24" s="8">
        <v>1.0416666666666666E-2</v>
      </c>
      <c r="C24" t="s">
        <v>116</v>
      </c>
      <c r="D24">
        <v>100</v>
      </c>
      <c r="E24">
        <v>278</v>
      </c>
      <c r="F24" t="s">
        <v>117</v>
      </c>
      <c r="N24" s="7">
        <v>45390</v>
      </c>
      <c r="O24" t="s">
        <v>115</v>
      </c>
      <c r="P24" s="1">
        <v>1.0416666666666666E-2</v>
      </c>
      <c r="Q24" t="s">
        <v>116</v>
      </c>
      <c r="R24">
        <v>100</v>
      </c>
      <c r="S24">
        <v>110</v>
      </c>
      <c r="T24" t="s">
        <v>117</v>
      </c>
    </row>
    <row r="25" spans="1:21" x14ac:dyDescent="0.3">
      <c r="A25" t="s">
        <v>115</v>
      </c>
      <c r="B25" s="8">
        <v>1.3888888888888888E-2</v>
      </c>
      <c r="C25" t="s">
        <v>116</v>
      </c>
      <c r="D25">
        <v>100</v>
      </c>
      <c r="E25">
        <v>272</v>
      </c>
      <c r="F25" t="s">
        <v>117</v>
      </c>
      <c r="N25" s="7">
        <v>45390</v>
      </c>
      <c r="O25" t="s">
        <v>115</v>
      </c>
      <c r="P25" s="1">
        <v>1.3888888888888888E-2</v>
      </c>
      <c r="Q25" t="s">
        <v>116</v>
      </c>
      <c r="R25">
        <v>100</v>
      </c>
      <c r="S25">
        <v>110</v>
      </c>
      <c r="T25" t="s">
        <v>117</v>
      </c>
    </row>
    <row r="26" spans="1:21" x14ac:dyDescent="0.3">
      <c r="A26" t="s">
        <v>115</v>
      </c>
      <c r="B26" s="8">
        <v>1.7361111111111112E-2</v>
      </c>
      <c r="C26" t="s">
        <v>116</v>
      </c>
      <c r="D26">
        <v>100</v>
      </c>
      <c r="E26">
        <v>280.39999999999998</v>
      </c>
      <c r="F26" t="s">
        <v>117</v>
      </c>
      <c r="N26" s="7">
        <v>45390</v>
      </c>
      <c r="O26" t="s">
        <v>115</v>
      </c>
      <c r="P26" s="1">
        <v>1.7361111111111112E-2</v>
      </c>
      <c r="Q26" t="s">
        <v>116</v>
      </c>
      <c r="R26">
        <v>100</v>
      </c>
      <c r="S26">
        <v>110</v>
      </c>
      <c r="T26" t="s">
        <v>117</v>
      </c>
    </row>
    <row r="27" spans="1:21" x14ac:dyDescent="0.3">
      <c r="A27" t="s">
        <v>115</v>
      </c>
      <c r="B27" s="8">
        <v>2.0833333333333332E-2</v>
      </c>
      <c r="C27" t="s">
        <v>116</v>
      </c>
      <c r="D27">
        <v>70</v>
      </c>
      <c r="E27">
        <v>272.7</v>
      </c>
      <c r="F27" t="s">
        <v>117</v>
      </c>
      <c r="N27" s="7">
        <v>45390</v>
      </c>
      <c r="O27" t="s">
        <v>115</v>
      </c>
      <c r="P27" s="1">
        <v>2.0833333333333332E-2</v>
      </c>
      <c r="Q27" t="s">
        <v>116</v>
      </c>
      <c r="R27">
        <v>70</v>
      </c>
      <c r="S27">
        <v>110</v>
      </c>
      <c r="T27" t="s">
        <v>117</v>
      </c>
    </row>
    <row r="28" spans="1:21" x14ac:dyDescent="0.3">
      <c r="A28" t="s">
        <v>115</v>
      </c>
      <c r="B28" s="8">
        <v>2.4305555555555556E-2</v>
      </c>
      <c r="C28" t="s">
        <v>116</v>
      </c>
      <c r="D28">
        <v>100</v>
      </c>
      <c r="E28">
        <v>270.89999999999998</v>
      </c>
      <c r="F28" t="s">
        <v>117</v>
      </c>
      <c r="N28" s="7">
        <v>45390</v>
      </c>
      <c r="O28" t="s">
        <v>115</v>
      </c>
      <c r="P28" s="1">
        <v>2.4305555555555556E-2</v>
      </c>
      <c r="Q28" t="s">
        <v>116</v>
      </c>
      <c r="R28">
        <v>100</v>
      </c>
      <c r="S28">
        <v>103</v>
      </c>
      <c r="T28" t="s">
        <v>117</v>
      </c>
    </row>
    <row r="29" spans="1:21" x14ac:dyDescent="0.3">
      <c r="A29" t="s">
        <v>115</v>
      </c>
      <c r="B29" s="8">
        <v>2.7777777777777776E-2</v>
      </c>
      <c r="C29" t="s">
        <v>116</v>
      </c>
      <c r="D29">
        <v>100</v>
      </c>
      <c r="E29">
        <v>272.60000000000002</v>
      </c>
      <c r="F29" t="s">
        <v>117</v>
      </c>
      <c r="N29" s="7">
        <v>45390</v>
      </c>
      <c r="O29" t="s">
        <v>115</v>
      </c>
      <c r="P29" s="1">
        <v>2.7777777777777776E-2</v>
      </c>
      <c r="Q29" t="s">
        <v>116</v>
      </c>
      <c r="R29">
        <v>100</v>
      </c>
      <c r="S29">
        <v>111.9</v>
      </c>
      <c r="T29" t="s">
        <v>117</v>
      </c>
    </row>
    <row r="30" spans="1:21" x14ac:dyDescent="0.3">
      <c r="A30" t="s">
        <v>115</v>
      </c>
      <c r="B30" s="8">
        <v>3.125E-2</v>
      </c>
      <c r="C30" t="s">
        <v>116</v>
      </c>
      <c r="D30">
        <v>100</v>
      </c>
      <c r="E30">
        <v>275.5</v>
      </c>
      <c r="F30" t="s">
        <v>117</v>
      </c>
      <c r="N30" s="7">
        <v>45390</v>
      </c>
      <c r="O30" t="s">
        <v>115</v>
      </c>
      <c r="P30" s="1">
        <v>3.125E-2</v>
      </c>
      <c r="Q30" t="s">
        <v>116</v>
      </c>
      <c r="R30">
        <v>100</v>
      </c>
      <c r="S30">
        <v>109.6</v>
      </c>
      <c r="T30" t="s">
        <v>117</v>
      </c>
    </row>
    <row r="31" spans="1:21" x14ac:dyDescent="0.3">
      <c r="A31" t="s">
        <v>115</v>
      </c>
      <c r="B31" s="8">
        <v>3.4722222222222224E-2</v>
      </c>
      <c r="C31" t="s">
        <v>116</v>
      </c>
      <c r="D31">
        <v>100</v>
      </c>
      <c r="E31">
        <v>266.39999999999998</v>
      </c>
      <c r="F31" t="s">
        <v>117</v>
      </c>
      <c r="N31" s="7">
        <v>45390</v>
      </c>
      <c r="O31" t="s">
        <v>115</v>
      </c>
      <c r="P31" s="1">
        <v>3.4722222222222224E-2</v>
      </c>
      <c r="Q31" t="s">
        <v>116</v>
      </c>
      <c r="R31">
        <v>100</v>
      </c>
      <c r="S31">
        <v>110</v>
      </c>
      <c r="T31" t="s">
        <v>117</v>
      </c>
    </row>
    <row r="32" spans="1:21" x14ac:dyDescent="0.3">
      <c r="A32" t="s">
        <v>115</v>
      </c>
      <c r="B32" s="8">
        <v>3.8194444444444448E-2</v>
      </c>
      <c r="C32" t="s">
        <v>116</v>
      </c>
      <c r="D32">
        <v>70</v>
      </c>
      <c r="E32">
        <v>265.7</v>
      </c>
      <c r="F32" t="s">
        <v>117</v>
      </c>
      <c r="N32" s="7">
        <v>45390</v>
      </c>
      <c r="O32" t="s">
        <v>115</v>
      </c>
      <c r="P32" s="1">
        <v>3.8194444444444448E-2</v>
      </c>
      <c r="Q32" t="s">
        <v>116</v>
      </c>
      <c r="R32">
        <v>70</v>
      </c>
      <c r="T32" t="s">
        <v>117</v>
      </c>
    </row>
    <row r="33" spans="1:20" x14ac:dyDescent="0.3">
      <c r="A33" t="s">
        <v>115</v>
      </c>
      <c r="B33" s="8">
        <v>4.1666666666666664E-2</v>
      </c>
      <c r="C33" t="s">
        <v>116</v>
      </c>
      <c r="D33">
        <v>100</v>
      </c>
      <c r="E33">
        <v>272.5</v>
      </c>
      <c r="F33" t="s">
        <v>117</v>
      </c>
      <c r="N33" s="7">
        <v>45390</v>
      </c>
      <c r="O33" t="s">
        <v>115</v>
      </c>
      <c r="P33" s="1">
        <v>4.1666666666666664E-2</v>
      </c>
      <c r="Q33" t="s">
        <v>116</v>
      </c>
      <c r="R33">
        <v>100</v>
      </c>
      <c r="T33" t="s">
        <v>117</v>
      </c>
    </row>
    <row r="34" spans="1:20" x14ac:dyDescent="0.3">
      <c r="A34" t="s">
        <v>115</v>
      </c>
      <c r="B34" s="8">
        <v>4.5138888888888888E-2</v>
      </c>
      <c r="C34" t="s">
        <v>116</v>
      </c>
      <c r="D34">
        <v>100</v>
      </c>
      <c r="E34">
        <v>303.7</v>
      </c>
      <c r="F34" t="s">
        <v>117</v>
      </c>
      <c r="N34" s="7">
        <v>45390</v>
      </c>
      <c r="O34" t="s">
        <v>115</v>
      </c>
      <c r="P34" s="1">
        <v>4.5138888888888888E-2</v>
      </c>
      <c r="Q34" t="s">
        <v>116</v>
      </c>
      <c r="R34">
        <v>100</v>
      </c>
      <c r="T34" t="s">
        <v>117</v>
      </c>
    </row>
    <row r="35" spans="1:20" x14ac:dyDescent="0.3">
      <c r="A35" t="s">
        <v>115</v>
      </c>
      <c r="B35" s="8">
        <v>4.8611111111111112E-2</v>
      </c>
      <c r="C35" t="s">
        <v>116</v>
      </c>
      <c r="D35">
        <v>100</v>
      </c>
      <c r="E35">
        <v>269.10000000000002</v>
      </c>
      <c r="F35" t="s">
        <v>117</v>
      </c>
      <c r="N35" s="7">
        <v>45390</v>
      </c>
      <c r="O35" t="s">
        <v>115</v>
      </c>
      <c r="P35" s="1">
        <v>4.8611111111111112E-2</v>
      </c>
      <c r="Q35" t="s">
        <v>116</v>
      </c>
      <c r="R35">
        <v>100</v>
      </c>
      <c r="T35" t="s">
        <v>117</v>
      </c>
    </row>
    <row r="36" spans="1:20" x14ac:dyDescent="0.3">
      <c r="A36" t="s">
        <v>115</v>
      </c>
      <c r="B36" s="8">
        <v>5.2083333333333336E-2</v>
      </c>
      <c r="C36" t="s">
        <v>116</v>
      </c>
      <c r="D36">
        <v>100</v>
      </c>
      <c r="E36">
        <v>266.7</v>
      </c>
      <c r="F36" t="s">
        <v>117</v>
      </c>
      <c r="N36" s="7">
        <v>45390</v>
      </c>
      <c r="O36" t="s">
        <v>115</v>
      </c>
      <c r="P36" s="1">
        <v>5.2083333333333336E-2</v>
      </c>
      <c r="Q36" t="s">
        <v>116</v>
      </c>
      <c r="R36">
        <v>100</v>
      </c>
      <c r="T36" t="s">
        <v>117</v>
      </c>
    </row>
    <row r="37" spans="1:20" x14ac:dyDescent="0.3">
      <c r="A37" t="s">
        <v>115</v>
      </c>
      <c r="B37" s="8">
        <v>5.5555555555555552E-2</v>
      </c>
      <c r="C37" t="s">
        <v>116</v>
      </c>
      <c r="D37">
        <v>100</v>
      </c>
      <c r="E37">
        <v>274</v>
      </c>
      <c r="F37" t="s">
        <v>117</v>
      </c>
      <c r="N37" s="7">
        <v>45390</v>
      </c>
      <c r="O37" t="s">
        <v>115</v>
      </c>
      <c r="P37" s="1">
        <v>5.5555555555555552E-2</v>
      </c>
      <c r="Q37" t="s">
        <v>116</v>
      </c>
      <c r="R37">
        <v>100</v>
      </c>
      <c r="T37" t="s">
        <v>117</v>
      </c>
    </row>
    <row r="38" spans="1:20" x14ac:dyDescent="0.3">
      <c r="A38" t="s">
        <v>115</v>
      </c>
      <c r="B38" s="8">
        <v>5.9027777777777776E-2</v>
      </c>
      <c r="C38" t="s">
        <v>116</v>
      </c>
      <c r="D38">
        <v>70</v>
      </c>
      <c r="E38">
        <v>287.5</v>
      </c>
      <c r="F38" t="s">
        <v>117</v>
      </c>
      <c r="N38" s="7">
        <v>45390</v>
      </c>
      <c r="O38" t="s">
        <v>115</v>
      </c>
      <c r="P38" s="1">
        <v>5.9027777777777776E-2</v>
      </c>
      <c r="Q38" t="s">
        <v>116</v>
      </c>
      <c r="R38">
        <v>70</v>
      </c>
      <c r="T38" t="s">
        <v>117</v>
      </c>
    </row>
    <row r="39" spans="1:20" x14ac:dyDescent="0.3">
      <c r="A39" t="s">
        <v>115</v>
      </c>
      <c r="B39" s="8">
        <v>6.25E-2</v>
      </c>
      <c r="C39" t="s">
        <v>116</v>
      </c>
      <c r="D39">
        <v>100</v>
      </c>
      <c r="E39">
        <v>295.8</v>
      </c>
      <c r="F39" t="s">
        <v>117</v>
      </c>
      <c r="N39" s="7">
        <v>45390</v>
      </c>
      <c r="O39" t="s">
        <v>115</v>
      </c>
      <c r="P39" s="1">
        <v>6.25E-2</v>
      </c>
      <c r="Q39" t="s">
        <v>116</v>
      </c>
      <c r="R39">
        <v>100</v>
      </c>
      <c r="T39" t="s">
        <v>117</v>
      </c>
    </row>
    <row r="40" spans="1:20" x14ac:dyDescent="0.3">
      <c r="A40" t="s">
        <v>115</v>
      </c>
      <c r="B40" s="8">
        <v>6.5972222222222224E-2</v>
      </c>
      <c r="C40" t="s">
        <v>116</v>
      </c>
      <c r="D40">
        <v>100</v>
      </c>
      <c r="E40">
        <v>287.10000000000002</v>
      </c>
      <c r="F40" t="s">
        <v>117</v>
      </c>
      <c r="N40" s="7">
        <v>45390</v>
      </c>
      <c r="O40" t="s">
        <v>115</v>
      </c>
      <c r="P40" s="1">
        <v>6.5972222222222224E-2</v>
      </c>
      <c r="Q40" t="s">
        <v>116</v>
      </c>
      <c r="R40">
        <v>100</v>
      </c>
      <c r="T40" t="s">
        <v>117</v>
      </c>
    </row>
    <row r="41" spans="1:20" x14ac:dyDescent="0.3">
      <c r="A41" t="s">
        <v>115</v>
      </c>
      <c r="B41" s="8">
        <v>6.9444444444444448E-2</v>
      </c>
      <c r="C41" t="s">
        <v>116</v>
      </c>
      <c r="D41">
        <v>100</v>
      </c>
      <c r="E41">
        <v>264.7</v>
      </c>
      <c r="F41" t="s">
        <v>117</v>
      </c>
      <c r="N41" s="7">
        <v>45390</v>
      </c>
      <c r="O41" t="s">
        <v>115</v>
      </c>
      <c r="P41" s="1">
        <v>6.9444444444444448E-2</v>
      </c>
      <c r="Q41" t="s">
        <v>116</v>
      </c>
      <c r="R41">
        <v>100</v>
      </c>
      <c r="T41" t="s">
        <v>117</v>
      </c>
    </row>
    <row r="42" spans="1:20" x14ac:dyDescent="0.3">
      <c r="A42" t="s">
        <v>115</v>
      </c>
      <c r="B42" s="8">
        <v>7.2916666666666671E-2</v>
      </c>
      <c r="C42" t="s">
        <v>116</v>
      </c>
      <c r="D42">
        <v>100</v>
      </c>
      <c r="E42">
        <v>283.8</v>
      </c>
      <c r="F42" t="s">
        <v>117</v>
      </c>
      <c r="N42" s="7">
        <v>45390</v>
      </c>
      <c r="O42" t="s">
        <v>115</v>
      </c>
      <c r="P42" s="1">
        <v>7.2916666666666671E-2</v>
      </c>
      <c r="Q42" t="s">
        <v>116</v>
      </c>
      <c r="R42">
        <v>100</v>
      </c>
      <c r="T42" t="s">
        <v>117</v>
      </c>
    </row>
    <row r="43" spans="1:20" x14ac:dyDescent="0.3">
      <c r="A43" t="s">
        <v>115</v>
      </c>
      <c r="B43" s="8">
        <v>7.6388888888888895E-2</v>
      </c>
      <c r="C43" t="s">
        <v>116</v>
      </c>
      <c r="D43">
        <v>100</v>
      </c>
      <c r="E43">
        <v>269.5</v>
      </c>
      <c r="F43" t="s">
        <v>117</v>
      </c>
      <c r="N43" s="7">
        <v>45390</v>
      </c>
      <c r="O43" t="s">
        <v>115</v>
      </c>
      <c r="P43" s="1">
        <v>7.6388888888888895E-2</v>
      </c>
      <c r="Q43" t="s">
        <v>116</v>
      </c>
      <c r="R43">
        <v>100</v>
      </c>
      <c r="T43" t="s">
        <v>117</v>
      </c>
    </row>
    <row r="44" spans="1:20" x14ac:dyDescent="0.3">
      <c r="A44" t="s">
        <v>115</v>
      </c>
      <c r="B44" s="8">
        <v>7.9861111111111105E-2</v>
      </c>
      <c r="C44" t="s">
        <v>116</v>
      </c>
      <c r="D44">
        <v>100</v>
      </c>
      <c r="E44">
        <v>270.89999999999998</v>
      </c>
      <c r="F44" t="s">
        <v>117</v>
      </c>
      <c r="N44" s="7">
        <v>45390</v>
      </c>
      <c r="O44" t="s">
        <v>115</v>
      </c>
      <c r="P44" s="1">
        <v>7.9861111111111105E-2</v>
      </c>
      <c r="Q44" t="s">
        <v>116</v>
      </c>
      <c r="R44">
        <v>100</v>
      </c>
      <c r="T44" t="s">
        <v>117</v>
      </c>
    </row>
    <row r="45" spans="1:20" x14ac:dyDescent="0.3">
      <c r="A45" t="s">
        <v>115</v>
      </c>
      <c r="B45" s="8">
        <v>8.3333333333333329E-2</v>
      </c>
      <c r="C45" t="s">
        <v>116</v>
      </c>
      <c r="D45">
        <v>100</v>
      </c>
      <c r="E45">
        <v>269.10000000000002</v>
      </c>
      <c r="F45" t="s">
        <v>117</v>
      </c>
      <c r="N45" s="7">
        <v>45390</v>
      </c>
      <c r="O45" t="s">
        <v>115</v>
      </c>
      <c r="P45" s="1">
        <v>8.3333333333333329E-2</v>
      </c>
      <c r="Q45" t="s">
        <v>116</v>
      </c>
      <c r="R45">
        <v>100</v>
      </c>
      <c r="T45" t="s">
        <v>117</v>
      </c>
    </row>
    <row r="46" spans="1:20" x14ac:dyDescent="0.3">
      <c r="A46" t="s">
        <v>115</v>
      </c>
      <c r="B46" s="8">
        <v>8.6805555555555552E-2</v>
      </c>
      <c r="C46" t="s">
        <v>116</v>
      </c>
      <c r="D46">
        <v>100</v>
      </c>
      <c r="E46">
        <v>269.7</v>
      </c>
      <c r="F46" t="s">
        <v>117</v>
      </c>
      <c r="N46" s="7">
        <v>45390</v>
      </c>
      <c r="O46" t="s">
        <v>115</v>
      </c>
      <c r="P46" s="1">
        <v>8.6805555555555552E-2</v>
      </c>
      <c r="Q46" t="s">
        <v>116</v>
      </c>
      <c r="R46">
        <v>100</v>
      </c>
      <c r="T46" t="s">
        <v>117</v>
      </c>
    </row>
    <row r="47" spans="1:20" x14ac:dyDescent="0.3">
      <c r="A47" t="s">
        <v>115</v>
      </c>
      <c r="B47" s="8">
        <v>9.0277777777777776E-2</v>
      </c>
      <c r="C47" t="s">
        <v>116</v>
      </c>
      <c r="D47">
        <v>100</v>
      </c>
      <c r="E47">
        <v>254.9</v>
      </c>
      <c r="F47" t="s">
        <v>117</v>
      </c>
      <c r="N47" s="7">
        <v>45390</v>
      </c>
      <c r="O47" t="s">
        <v>115</v>
      </c>
      <c r="P47" s="1">
        <v>9.0277777777777776E-2</v>
      </c>
      <c r="Q47" t="s">
        <v>116</v>
      </c>
      <c r="R47">
        <v>100</v>
      </c>
      <c r="T47" t="s">
        <v>117</v>
      </c>
    </row>
    <row r="48" spans="1:20" x14ac:dyDescent="0.3">
      <c r="A48" t="s">
        <v>115</v>
      </c>
      <c r="B48" s="8">
        <v>9.375E-2</v>
      </c>
      <c r="C48" t="s">
        <v>116</v>
      </c>
      <c r="D48">
        <v>100</v>
      </c>
      <c r="E48">
        <v>262.8</v>
      </c>
      <c r="F48" t="s">
        <v>117</v>
      </c>
      <c r="N48" s="7">
        <v>45390</v>
      </c>
      <c r="O48" t="s">
        <v>115</v>
      </c>
      <c r="P48" s="1">
        <v>9.375E-2</v>
      </c>
      <c r="Q48" t="s">
        <v>116</v>
      </c>
      <c r="R48">
        <v>100</v>
      </c>
      <c r="T48" t="s">
        <v>117</v>
      </c>
    </row>
    <row r="49" spans="1:20" x14ac:dyDescent="0.3">
      <c r="A49" t="s">
        <v>115</v>
      </c>
      <c r="B49" s="8">
        <v>9.7222222222222224E-2</v>
      </c>
      <c r="C49" t="s">
        <v>116</v>
      </c>
      <c r="D49">
        <v>100</v>
      </c>
      <c r="E49">
        <v>271.8</v>
      </c>
      <c r="F49" t="s">
        <v>117</v>
      </c>
      <c r="N49" s="7">
        <v>45390</v>
      </c>
      <c r="O49" t="s">
        <v>115</v>
      </c>
      <c r="P49" s="1">
        <v>9.7222222222222224E-2</v>
      </c>
      <c r="Q49" t="s">
        <v>116</v>
      </c>
      <c r="R49">
        <v>100</v>
      </c>
      <c r="T49" t="s">
        <v>117</v>
      </c>
    </row>
    <row r="50" spans="1:20" x14ac:dyDescent="0.3">
      <c r="A50" t="s">
        <v>115</v>
      </c>
      <c r="B50" s="8">
        <v>0.10069444444444445</v>
      </c>
      <c r="C50" t="s">
        <v>116</v>
      </c>
      <c r="D50">
        <v>100</v>
      </c>
      <c r="E50">
        <v>260</v>
      </c>
      <c r="F50" t="s">
        <v>117</v>
      </c>
      <c r="N50" s="7">
        <v>45390</v>
      </c>
      <c r="O50" t="s">
        <v>115</v>
      </c>
      <c r="P50" s="1">
        <v>0.10069444444444445</v>
      </c>
      <c r="Q50" t="s">
        <v>116</v>
      </c>
      <c r="R50">
        <v>100</v>
      </c>
      <c r="T50" t="s">
        <v>117</v>
      </c>
    </row>
    <row r="51" spans="1:20" x14ac:dyDescent="0.3">
      <c r="A51" t="s">
        <v>115</v>
      </c>
      <c r="B51" s="8">
        <v>0.10416666666666667</v>
      </c>
      <c r="C51" t="s">
        <v>116</v>
      </c>
      <c r="D51">
        <v>100</v>
      </c>
      <c r="E51">
        <v>249.2</v>
      </c>
      <c r="F51" t="s">
        <v>117</v>
      </c>
      <c r="N51" s="7">
        <v>45390</v>
      </c>
      <c r="O51" t="s">
        <v>115</v>
      </c>
      <c r="P51" s="1">
        <v>0.10416666666666667</v>
      </c>
      <c r="Q51" t="s">
        <v>116</v>
      </c>
      <c r="R51">
        <v>100</v>
      </c>
      <c r="T51" t="s">
        <v>117</v>
      </c>
    </row>
    <row r="52" spans="1:20" x14ac:dyDescent="0.3">
      <c r="A52" t="s">
        <v>115</v>
      </c>
      <c r="B52" s="8">
        <v>0.1076388888888889</v>
      </c>
      <c r="C52" t="s">
        <v>116</v>
      </c>
      <c r="D52">
        <v>100</v>
      </c>
      <c r="E52">
        <v>276.39999999999998</v>
      </c>
      <c r="F52" t="s">
        <v>117</v>
      </c>
      <c r="N52" s="7">
        <v>45390</v>
      </c>
      <c r="O52" t="s">
        <v>115</v>
      </c>
      <c r="P52" s="1">
        <v>0.1076388888888889</v>
      </c>
      <c r="Q52" t="s">
        <v>116</v>
      </c>
      <c r="R52">
        <v>100</v>
      </c>
      <c r="T52" t="s">
        <v>117</v>
      </c>
    </row>
    <row r="53" spans="1:20" x14ac:dyDescent="0.3">
      <c r="A53" t="s">
        <v>115</v>
      </c>
      <c r="B53" s="8">
        <v>0.1111111111111111</v>
      </c>
      <c r="C53" t="s">
        <v>116</v>
      </c>
      <c r="D53">
        <v>100</v>
      </c>
      <c r="E53">
        <v>283.5</v>
      </c>
      <c r="F53" t="s">
        <v>117</v>
      </c>
      <c r="N53" s="7">
        <v>45390</v>
      </c>
      <c r="O53" t="s">
        <v>115</v>
      </c>
      <c r="P53" s="1">
        <v>0.1111111111111111</v>
      </c>
      <c r="Q53" t="s">
        <v>116</v>
      </c>
      <c r="R53">
        <v>100</v>
      </c>
      <c r="T53" t="s">
        <v>117</v>
      </c>
    </row>
    <row r="54" spans="1:20" x14ac:dyDescent="0.3">
      <c r="A54" t="s">
        <v>115</v>
      </c>
      <c r="B54" s="8">
        <v>0.11458333333333333</v>
      </c>
      <c r="C54" t="s">
        <v>116</v>
      </c>
      <c r="D54">
        <v>100</v>
      </c>
      <c r="E54">
        <v>291.39999999999998</v>
      </c>
      <c r="F54" t="s">
        <v>117</v>
      </c>
      <c r="N54" s="7">
        <v>45390</v>
      </c>
      <c r="O54" t="s">
        <v>115</v>
      </c>
      <c r="P54" s="1">
        <v>0.11458333333333333</v>
      </c>
      <c r="Q54" t="s">
        <v>116</v>
      </c>
      <c r="R54">
        <v>100</v>
      </c>
      <c r="T54" t="s">
        <v>117</v>
      </c>
    </row>
    <row r="55" spans="1:20" x14ac:dyDescent="0.3">
      <c r="A55" t="s">
        <v>115</v>
      </c>
      <c r="B55" s="8">
        <v>0.11805555555555555</v>
      </c>
      <c r="C55" t="s">
        <v>116</v>
      </c>
      <c r="D55">
        <v>100</v>
      </c>
      <c r="E55">
        <v>315</v>
      </c>
      <c r="F55" t="s">
        <v>117</v>
      </c>
      <c r="N55" s="7">
        <v>45390</v>
      </c>
      <c r="O55" t="s">
        <v>115</v>
      </c>
      <c r="P55" s="1">
        <v>0.11805555555555555</v>
      </c>
      <c r="Q55" t="s">
        <v>116</v>
      </c>
      <c r="R55">
        <v>100</v>
      </c>
      <c r="T55" t="s">
        <v>117</v>
      </c>
    </row>
    <row r="56" spans="1:20" x14ac:dyDescent="0.3">
      <c r="A56" t="s">
        <v>115</v>
      </c>
      <c r="B56" s="8">
        <v>0.12152777777777778</v>
      </c>
      <c r="C56" t="s">
        <v>116</v>
      </c>
      <c r="D56">
        <v>100</v>
      </c>
      <c r="E56">
        <v>305.3</v>
      </c>
      <c r="F56" t="s">
        <v>117</v>
      </c>
      <c r="N56" s="7">
        <v>45390</v>
      </c>
      <c r="O56" t="s">
        <v>115</v>
      </c>
      <c r="P56" s="1">
        <v>0.12152777777777778</v>
      </c>
      <c r="Q56" t="s">
        <v>116</v>
      </c>
      <c r="R56">
        <v>100</v>
      </c>
      <c r="T56" t="s">
        <v>117</v>
      </c>
    </row>
    <row r="57" spans="1:20" x14ac:dyDescent="0.3">
      <c r="A57" t="s">
        <v>115</v>
      </c>
      <c r="B57" s="8">
        <v>0.125</v>
      </c>
      <c r="C57" t="s">
        <v>116</v>
      </c>
      <c r="D57">
        <v>100</v>
      </c>
      <c r="E57">
        <v>272.8</v>
      </c>
      <c r="F57" t="s">
        <v>117</v>
      </c>
      <c r="N57" s="7">
        <v>45390</v>
      </c>
      <c r="O57" t="s">
        <v>115</v>
      </c>
      <c r="P57" s="1">
        <v>0.125</v>
      </c>
      <c r="Q57" t="s">
        <v>116</v>
      </c>
      <c r="R57">
        <v>100</v>
      </c>
      <c r="T57" t="s">
        <v>117</v>
      </c>
    </row>
    <row r="58" spans="1:20" x14ac:dyDescent="0.3">
      <c r="A58" t="s">
        <v>115</v>
      </c>
      <c r="B58" s="8">
        <v>0.12847222222222221</v>
      </c>
      <c r="C58" t="s">
        <v>116</v>
      </c>
      <c r="D58">
        <v>100</v>
      </c>
      <c r="E58">
        <v>305.2</v>
      </c>
      <c r="F58" t="s">
        <v>117</v>
      </c>
      <c r="N58" s="7">
        <v>45390</v>
      </c>
      <c r="O58" t="s">
        <v>115</v>
      </c>
      <c r="P58" s="1">
        <v>0.12847222222222221</v>
      </c>
      <c r="Q58" t="s">
        <v>116</v>
      </c>
      <c r="R58">
        <v>100</v>
      </c>
      <c r="T58" t="s">
        <v>117</v>
      </c>
    </row>
    <row r="59" spans="1:20" x14ac:dyDescent="0.3">
      <c r="A59" t="s">
        <v>115</v>
      </c>
      <c r="B59" s="8">
        <v>0.13194444444444445</v>
      </c>
      <c r="C59" t="s">
        <v>116</v>
      </c>
      <c r="D59">
        <v>100</v>
      </c>
      <c r="E59">
        <v>320.10000000000002</v>
      </c>
      <c r="F59" t="s">
        <v>117</v>
      </c>
      <c r="N59" s="7">
        <v>45390</v>
      </c>
      <c r="O59" t="s">
        <v>115</v>
      </c>
      <c r="P59" s="1">
        <v>0.13194444444444445</v>
      </c>
      <c r="Q59" t="s">
        <v>116</v>
      </c>
      <c r="R59">
        <v>100</v>
      </c>
      <c r="T59" t="s">
        <v>117</v>
      </c>
    </row>
    <row r="60" spans="1:20" x14ac:dyDescent="0.3">
      <c r="A60" t="s">
        <v>115</v>
      </c>
      <c r="B60" s="8">
        <v>0.13541666666666666</v>
      </c>
      <c r="C60" t="s">
        <v>116</v>
      </c>
      <c r="D60">
        <v>100</v>
      </c>
      <c r="E60">
        <v>327.39999999999998</v>
      </c>
      <c r="F60" t="s">
        <v>117</v>
      </c>
      <c r="N60" s="7">
        <v>45390</v>
      </c>
      <c r="O60" t="s">
        <v>115</v>
      </c>
      <c r="P60" s="1">
        <v>0.13541666666666666</v>
      </c>
      <c r="Q60" t="s">
        <v>116</v>
      </c>
      <c r="R60">
        <v>100</v>
      </c>
      <c r="T60" t="s">
        <v>117</v>
      </c>
    </row>
    <row r="61" spans="1:20" x14ac:dyDescent="0.3">
      <c r="A61" t="s">
        <v>115</v>
      </c>
      <c r="B61" s="8">
        <v>0.1388888888888889</v>
      </c>
      <c r="C61" t="s">
        <v>116</v>
      </c>
      <c r="D61">
        <v>100</v>
      </c>
      <c r="E61">
        <v>324.7</v>
      </c>
      <c r="F61" t="s">
        <v>117</v>
      </c>
      <c r="N61" s="7">
        <v>45390</v>
      </c>
      <c r="O61" t="s">
        <v>115</v>
      </c>
      <c r="P61" s="1">
        <v>0.1388888888888889</v>
      </c>
      <c r="Q61" t="s">
        <v>116</v>
      </c>
      <c r="R61">
        <v>100</v>
      </c>
      <c r="T61" t="s">
        <v>117</v>
      </c>
    </row>
    <row r="62" spans="1:20" x14ac:dyDescent="0.3">
      <c r="A62" t="s">
        <v>115</v>
      </c>
      <c r="B62" s="8">
        <v>0.1423611111111111</v>
      </c>
      <c r="C62" t="s">
        <v>116</v>
      </c>
      <c r="D62">
        <v>100</v>
      </c>
      <c r="E62">
        <v>300.2</v>
      </c>
      <c r="F62" t="s">
        <v>117</v>
      </c>
      <c r="N62" s="7">
        <v>45390</v>
      </c>
      <c r="O62" t="s">
        <v>115</v>
      </c>
      <c r="P62" s="1">
        <v>0.1423611111111111</v>
      </c>
      <c r="Q62" t="s">
        <v>116</v>
      </c>
      <c r="R62">
        <v>100</v>
      </c>
      <c r="T62" t="s">
        <v>117</v>
      </c>
    </row>
    <row r="63" spans="1:20" x14ac:dyDescent="0.3">
      <c r="A63" t="s">
        <v>115</v>
      </c>
      <c r="B63" s="8">
        <v>0.14583333333333334</v>
      </c>
      <c r="C63" t="s">
        <v>116</v>
      </c>
      <c r="D63">
        <v>100</v>
      </c>
      <c r="E63">
        <v>336.6</v>
      </c>
      <c r="F63" t="s">
        <v>117</v>
      </c>
      <c r="N63" s="7">
        <v>45390</v>
      </c>
      <c r="O63" t="s">
        <v>115</v>
      </c>
      <c r="P63" s="1">
        <v>0.14583333333333334</v>
      </c>
      <c r="Q63" t="s">
        <v>116</v>
      </c>
      <c r="R63">
        <v>100</v>
      </c>
      <c r="T63" t="s">
        <v>117</v>
      </c>
    </row>
    <row r="64" spans="1:20" x14ac:dyDescent="0.3">
      <c r="A64" t="s">
        <v>115</v>
      </c>
      <c r="B64" s="8">
        <v>0.14930555555555555</v>
      </c>
      <c r="C64" t="s">
        <v>116</v>
      </c>
      <c r="D64">
        <v>100</v>
      </c>
      <c r="E64">
        <v>344.7</v>
      </c>
      <c r="F64" t="s">
        <v>117</v>
      </c>
      <c r="N64" s="7">
        <v>45390</v>
      </c>
      <c r="O64" t="s">
        <v>115</v>
      </c>
      <c r="P64" s="1">
        <v>0.14930555555555555</v>
      </c>
      <c r="Q64" t="s">
        <v>116</v>
      </c>
      <c r="R64">
        <v>100</v>
      </c>
      <c r="T64" t="s">
        <v>117</v>
      </c>
    </row>
    <row r="65" spans="1:20" x14ac:dyDescent="0.3">
      <c r="A65" t="s">
        <v>115</v>
      </c>
      <c r="B65" s="8">
        <v>0.15277777777777779</v>
      </c>
      <c r="C65" t="s">
        <v>116</v>
      </c>
      <c r="D65">
        <v>100</v>
      </c>
      <c r="E65">
        <v>349.6</v>
      </c>
      <c r="F65" t="s">
        <v>117</v>
      </c>
      <c r="N65" s="7">
        <v>45390</v>
      </c>
      <c r="O65" t="s">
        <v>115</v>
      </c>
      <c r="P65" s="1">
        <v>0.15277777777777779</v>
      </c>
      <c r="Q65" t="s">
        <v>116</v>
      </c>
      <c r="R65">
        <v>100</v>
      </c>
      <c r="T65" t="s">
        <v>117</v>
      </c>
    </row>
    <row r="66" spans="1:20" x14ac:dyDescent="0.3">
      <c r="A66" t="s">
        <v>115</v>
      </c>
      <c r="B66" s="8">
        <v>0.15625</v>
      </c>
      <c r="C66" t="s">
        <v>116</v>
      </c>
      <c r="D66">
        <v>100</v>
      </c>
      <c r="E66">
        <v>355</v>
      </c>
      <c r="F66" t="s">
        <v>117</v>
      </c>
      <c r="N66" s="7">
        <v>45390</v>
      </c>
      <c r="O66" t="s">
        <v>115</v>
      </c>
      <c r="P66" s="1">
        <v>0.15625</v>
      </c>
      <c r="Q66" t="s">
        <v>116</v>
      </c>
      <c r="R66">
        <v>100</v>
      </c>
      <c r="T66" t="s">
        <v>117</v>
      </c>
    </row>
    <row r="67" spans="1:20" x14ac:dyDescent="0.3">
      <c r="A67" t="s">
        <v>115</v>
      </c>
      <c r="B67" s="8">
        <v>0.15972222222222221</v>
      </c>
      <c r="C67" t="s">
        <v>116</v>
      </c>
      <c r="D67">
        <v>100</v>
      </c>
      <c r="E67">
        <v>349.9</v>
      </c>
      <c r="F67" t="s">
        <v>117</v>
      </c>
      <c r="N67" s="7">
        <v>45390</v>
      </c>
      <c r="O67" t="s">
        <v>115</v>
      </c>
      <c r="P67" s="1">
        <v>0.15972222222222221</v>
      </c>
      <c r="Q67" t="s">
        <v>116</v>
      </c>
      <c r="R67">
        <v>100</v>
      </c>
      <c r="T67" t="s">
        <v>117</v>
      </c>
    </row>
    <row r="68" spans="1:20" x14ac:dyDescent="0.3">
      <c r="A68" t="s">
        <v>115</v>
      </c>
      <c r="B68" s="8">
        <v>0.16319444444444445</v>
      </c>
      <c r="C68" t="s">
        <v>116</v>
      </c>
      <c r="D68">
        <v>100</v>
      </c>
      <c r="E68">
        <v>354</v>
      </c>
      <c r="F68" t="s">
        <v>117</v>
      </c>
      <c r="N68" s="7">
        <v>45390</v>
      </c>
      <c r="O68" t="s">
        <v>115</v>
      </c>
      <c r="P68" s="1">
        <v>0.16319444444444445</v>
      </c>
      <c r="Q68" t="s">
        <v>116</v>
      </c>
      <c r="R68">
        <v>100</v>
      </c>
      <c r="T68" t="s">
        <v>117</v>
      </c>
    </row>
    <row r="69" spans="1:20" x14ac:dyDescent="0.3">
      <c r="A69" t="s">
        <v>115</v>
      </c>
      <c r="B69" s="8">
        <v>0.16666666666666666</v>
      </c>
      <c r="C69" t="s">
        <v>116</v>
      </c>
      <c r="D69">
        <v>100</v>
      </c>
      <c r="E69">
        <v>352</v>
      </c>
      <c r="F69" t="s">
        <v>117</v>
      </c>
      <c r="N69" s="7">
        <v>45390</v>
      </c>
      <c r="O69" t="s">
        <v>115</v>
      </c>
      <c r="P69" s="1">
        <v>0.16666666666666666</v>
      </c>
      <c r="Q69" t="s">
        <v>116</v>
      </c>
      <c r="R69">
        <v>100</v>
      </c>
      <c r="T69" t="s">
        <v>117</v>
      </c>
    </row>
    <row r="70" spans="1:20" x14ac:dyDescent="0.3">
      <c r="A70" t="s">
        <v>115</v>
      </c>
      <c r="B70" s="8">
        <v>0.1701388888888889</v>
      </c>
      <c r="C70" t="s">
        <v>116</v>
      </c>
      <c r="D70">
        <v>100</v>
      </c>
      <c r="E70">
        <v>341.4</v>
      </c>
      <c r="F70" t="s">
        <v>117</v>
      </c>
      <c r="N70" s="7">
        <v>45390</v>
      </c>
      <c r="O70" t="s">
        <v>115</v>
      </c>
      <c r="P70" s="1">
        <v>0.1701388888888889</v>
      </c>
      <c r="Q70" t="s">
        <v>116</v>
      </c>
      <c r="R70">
        <v>100</v>
      </c>
      <c r="T70" t="s">
        <v>117</v>
      </c>
    </row>
    <row r="71" spans="1:20" x14ac:dyDescent="0.3">
      <c r="A71" t="s">
        <v>115</v>
      </c>
      <c r="B71" s="8">
        <v>0.1736111111111111</v>
      </c>
      <c r="C71" t="s">
        <v>116</v>
      </c>
      <c r="D71">
        <v>100</v>
      </c>
      <c r="E71">
        <v>341.1</v>
      </c>
      <c r="F71" t="s">
        <v>117</v>
      </c>
      <c r="N71" s="7">
        <v>45390</v>
      </c>
      <c r="O71" t="s">
        <v>115</v>
      </c>
      <c r="P71" s="1">
        <v>0.1736111111111111</v>
      </c>
      <c r="Q71" t="s">
        <v>116</v>
      </c>
      <c r="R71">
        <v>100</v>
      </c>
      <c r="T71" t="s">
        <v>117</v>
      </c>
    </row>
    <row r="72" spans="1:20" x14ac:dyDescent="0.3">
      <c r="A72" t="s">
        <v>115</v>
      </c>
      <c r="B72" s="8">
        <v>0.17708333333333334</v>
      </c>
      <c r="C72" t="s">
        <v>116</v>
      </c>
      <c r="D72">
        <v>100</v>
      </c>
      <c r="E72">
        <v>349.7</v>
      </c>
      <c r="F72" t="s">
        <v>117</v>
      </c>
      <c r="N72" s="7">
        <v>45390</v>
      </c>
      <c r="O72" t="s">
        <v>115</v>
      </c>
      <c r="P72" s="1">
        <v>0.17708333333333334</v>
      </c>
      <c r="Q72" t="s">
        <v>116</v>
      </c>
      <c r="R72">
        <v>100</v>
      </c>
      <c r="T72" t="s">
        <v>117</v>
      </c>
    </row>
    <row r="73" spans="1:20" x14ac:dyDescent="0.3">
      <c r="A73" t="s">
        <v>115</v>
      </c>
      <c r="B73" s="8">
        <v>0.18055555555555555</v>
      </c>
      <c r="C73" t="s">
        <v>116</v>
      </c>
      <c r="D73">
        <v>100</v>
      </c>
      <c r="E73">
        <v>351.6</v>
      </c>
      <c r="F73" t="s">
        <v>117</v>
      </c>
      <c r="N73" s="7">
        <v>45390</v>
      </c>
      <c r="O73" t="s">
        <v>115</v>
      </c>
      <c r="P73" s="1">
        <v>0.18055555555555555</v>
      </c>
      <c r="Q73" t="s">
        <v>116</v>
      </c>
      <c r="R73">
        <v>100</v>
      </c>
      <c r="T73" t="s">
        <v>117</v>
      </c>
    </row>
    <row r="74" spans="1:20" x14ac:dyDescent="0.3">
      <c r="A74" t="s">
        <v>115</v>
      </c>
      <c r="B74" s="8">
        <v>0.18402777777777779</v>
      </c>
      <c r="C74" t="s">
        <v>116</v>
      </c>
      <c r="D74">
        <v>100</v>
      </c>
      <c r="E74">
        <v>346.6</v>
      </c>
      <c r="F74" t="s">
        <v>117</v>
      </c>
      <c r="N74" s="7">
        <v>45390</v>
      </c>
      <c r="O74" t="s">
        <v>115</v>
      </c>
      <c r="P74" s="1">
        <v>0.18402777777777779</v>
      </c>
      <c r="Q74" t="s">
        <v>116</v>
      </c>
      <c r="R74">
        <v>100</v>
      </c>
      <c r="T74" t="s">
        <v>117</v>
      </c>
    </row>
    <row r="75" spans="1:20" x14ac:dyDescent="0.3">
      <c r="A75" t="s">
        <v>115</v>
      </c>
      <c r="B75" s="8">
        <v>0.1875</v>
      </c>
      <c r="C75" t="s">
        <v>116</v>
      </c>
      <c r="D75">
        <v>100</v>
      </c>
      <c r="E75">
        <v>308.39999999999998</v>
      </c>
      <c r="F75" t="s">
        <v>117</v>
      </c>
      <c r="N75" s="7">
        <v>45390</v>
      </c>
      <c r="O75" t="s">
        <v>115</v>
      </c>
      <c r="P75" s="1">
        <v>0.1875</v>
      </c>
      <c r="Q75" t="s">
        <v>116</v>
      </c>
      <c r="R75">
        <v>100</v>
      </c>
      <c r="T75" t="s">
        <v>117</v>
      </c>
    </row>
    <row r="76" spans="1:20" x14ac:dyDescent="0.3">
      <c r="A76" t="s">
        <v>115</v>
      </c>
      <c r="B76" s="8">
        <v>0.19097222222222221</v>
      </c>
      <c r="C76" t="s">
        <v>116</v>
      </c>
      <c r="D76">
        <v>100</v>
      </c>
      <c r="E76">
        <v>351.9</v>
      </c>
      <c r="F76" t="s">
        <v>117</v>
      </c>
      <c r="N76" s="7">
        <v>45390</v>
      </c>
      <c r="O76" t="s">
        <v>115</v>
      </c>
      <c r="P76" s="1">
        <v>0.19097222222222221</v>
      </c>
      <c r="Q76" t="s">
        <v>116</v>
      </c>
      <c r="R76">
        <v>100</v>
      </c>
      <c r="T76" t="s">
        <v>117</v>
      </c>
    </row>
    <row r="77" spans="1:20" x14ac:dyDescent="0.3">
      <c r="A77" t="s">
        <v>115</v>
      </c>
      <c r="B77" s="8">
        <v>0.19444444444444445</v>
      </c>
      <c r="C77" t="s">
        <v>116</v>
      </c>
      <c r="D77">
        <v>100</v>
      </c>
      <c r="E77">
        <v>348.7</v>
      </c>
      <c r="F77" t="s">
        <v>117</v>
      </c>
      <c r="N77" s="7">
        <v>45390</v>
      </c>
      <c r="O77" t="s">
        <v>115</v>
      </c>
      <c r="P77" s="1">
        <v>0.19444444444444445</v>
      </c>
      <c r="Q77" t="s">
        <v>116</v>
      </c>
      <c r="R77">
        <v>100</v>
      </c>
      <c r="T77" t="s">
        <v>117</v>
      </c>
    </row>
    <row r="78" spans="1:20" x14ac:dyDescent="0.3">
      <c r="A78" t="s">
        <v>115</v>
      </c>
      <c r="B78" s="8">
        <v>0.19791666666666666</v>
      </c>
      <c r="C78" t="s">
        <v>116</v>
      </c>
      <c r="D78">
        <v>100</v>
      </c>
      <c r="E78">
        <v>321.2</v>
      </c>
      <c r="F78" t="s">
        <v>117</v>
      </c>
      <c r="N78" s="7">
        <v>45390</v>
      </c>
      <c r="O78" t="s">
        <v>115</v>
      </c>
      <c r="P78" s="1">
        <v>0.19791666666666666</v>
      </c>
      <c r="Q78" t="s">
        <v>116</v>
      </c>
      <c r="R78">
        <v>100</v>
      </c>
      <c r="T78" t="s">
        <v>117</v>
      </c>
    </row>
    <row r="79" spans="1:20" x14ac:dyDescent="0.3">
      <c r="A79" t="s">
        <v>115</v>
      </c>
      <c r="B79" s="8">
        <v>0.2013888888888889</v>
      </c>
      <c r="C79" t="s">
        <v>116</v>
      </c>
      <c r="D79">
        <v>100</v>
      </c>
      <c r="E79">
        <v>343.7</v>
      </c>
      <c r="F79" t="s">
        <v>117</v>
      </c>
      <c r="N79" s="7">
        <v>45390</v>
      </c>
      <c r="O79" t="s">
        <v>115</v>
      </c>
      <c r="P79" s="1">
        <v>0.2013888888888889</v>
      </c>
      <c r="Q79" t="s">
        <v>116</v>
      </c>
      <c r="R79">
        <v>100</v>
      </c>
      <c r="T79" t="s">
        <v>117</v>
      </c>
    </row>
    <row r="80" spans="1:20" x14ac:dyDescent="0.3">
      <c r="A80" t="s">
        <v>115</v>
      </c>
      <c r="B80" s="8">
        <v>0.2048611111111111</v>
      </c>
      <c r="C80" t="s">
        <v>116</v>
      </c>
      <c r="D80">
        <v>100</v>
      </c>
      <c r="E80">
        <v>340.1</v>
      </c>
      <c r="F80" t="s">
        <v>117</v>
      </c>
      <c r="N80" s="7">
        <v>45390</v>
      </c>
      <c r="O80" t="s">
        <v>115</v>
      </c>
      <c r="P80" s="1">
        <v>0.2048611111111111</v>
      </c>
      <c r="Q80" t="s">
        <v>116</v>
      </c>
      <c r="R80">
        <v>100</v>
      </c>
      <c r="T80" t="s">
        <v>117</v>
      </c>
    </row>
    <row r="81" spans="1:20" x14ac:dyDescent="0.3">
      <c r="A81" t="s">
        <v>115</v>
      </c>
      <c r="B81" s="8">
        <v>0.20833333333333334</v>
      </c>
      <c r="C81" t="s">
        <v>116</v>
      </c>
      <c r="D81">
        <v>100</v>
      </c>
      <c r="E81">
        <v>346</v>
      </c>
      <c r="F81" t="s">
        <v>117</v>
      </c>
      <c r="N81" s="7">
        <v>45390</v>
      </c>
      <c r="O81" t="s">
        <v>115</v>
      </c>
      <c r="P81" s="1">
        <v>0.20833333333333334</v>
      </c>
      <c r="Q81" t="s">
        <v>116</v>
      </c>
      <c r="R81">
        <v>100</v>
      </c>
      <c r="T81" t="s">
        <v>117</v>
      </c>
    </row>
    <row r="82" spans="1:20" x14ac:dyDescent="0.3">
      <c r="A82" t="s">
        <v>115</v>
      </c>
      <c r="B82" s="8">
        <v>0.21180555555555555</v>
      </c>
      <c r="C82" t="s">
        <v>116</v>
      </c>
      <c r="D82">
        <v>100</v>
      </c>
      <c r="E82">
        <v>338.9</v>
      </c>
      <c r="F82" t="s">
        <v>117</v>
      </c>
      <c r="N82" s="7">
        <v>45390</v>
      </c>
      <c r="O82" t="s">
        <v>115</v>
      </c>
      <c r="P82" s="1">
        <v>0.21180555555555555</v>
      </c>
      <c r="Q82" t="s">
        <v>116</v>
      </c>
      <c r="R82">
        <v>100</v>
      </c>
      <c r="T82" t="s">
        <v>117</v>
      </c>
    </row>
    <row r="83" spans="1:20" x14ac:dyDescent="0.3">
      <c r="A83" t="s">
        <v>115</v>
      </c>
      <c r="B83" s="8">
        <v>0.21527777777777779</v>
      </c>
      <c r="C83" t="s">
        <v>116</v>
      </c>
      <c r="D83">
        <v>100</v>
      </c>
      <c r="E83">
        <v>346.4</v>
      </c>
      <c r="F83" t="s">
        <v>117</v>
      </c>
      <c r="N83" s="7">
        <v>45390</v>
      </c>
      <c r="O83" t="s">
        <v>115</v>
      </c>
      <c r="P83" s="1">
        <v>0.21527777777777779</v>
      </c>
      <c r="Q83" t="s">
        <v>116</v>
      </c>
      <c r="R83">
        <v>100</v>
      </c>
      <c r="T83" t="s">
        <v>117</v>
      </c>
    </row>
    <row r="84" spans="1:20" x14ac:dyDescent="0.3">
      <c r="A84" t="s">
        <v>115</v>
      </c>
      <c r="B84" s="8">
        <v>0.21875</v>
      </c>
      <c r="C84" t="s">
        <v>116</v>
      </c>
      <c r="D84">
        <v>100</v>
      </c>
      <c r="E84">
        <v>343</v>
      </c>
      <c r="F84" t="s">
        <v>117</v>
      </c>
      <c r="N84" s="7">
        <v>45390</v>
      </c>
      <c r="O84" t="s">
        <v>115</v>
      </c>
      <c r="P84" s="1">
        <v>0.21875</v>
      </c>
      <c r="Q84" t="s">
        <v>116</v>
      </c>
      <c r="R84">
        <v>100</v>
      </c>
      <c r="T84" t="s">
        <v>117</v>
      </c>
    </row>
    <row r="85" spans="1:20" x14ac:dyDescent="0.3">
      <c r="A85" t="s">
        <v>115</v>
      </c>
      <c r="B85" s="8">
        <v>0.22222222222222221</v>
      </c>
      <c r="C85" t="s">
        <v>116</v>
      </c>
      <c r="D85">
        <v>100</v>
      </c>
      <c r="E85">
        <v>346.9</v>
      </c>
      <c r="F85" t="s">
        <v>117</v>
      </c>
      <c r="N85" s="7">
        <v>45390</v>
      </c>
      <c r="O85" t="s">
        <v>115</v>
      </c>
      <c r="P85" s="1">
        <v>0.22222222222222221</v>
      </c>
      <c r="Q85" t="s">
        <v>116</v>
      </c>
      <c r="R85">
        <v>100</v>
      </c>
      <c r="T85" t="s">
        <v>117</v>
      </c>
    </row>
    <row r="86" spans="1:20" x14ac:dyDescent="0.3">
      <c r="A86" t="s">
        <v>115</v>
      </c>
      <c r="B86" s="8">
        <v>0.22569444444444445</v>
      </c>
      <c r="C86" t="s">
        <v>116</v>
      </c>
      <c r="D86">
        <v>100</v>
      </c>
      <c r="E86">
        <v>342.9</v>
      </c>
      <c r="F86" t="s">
        <v>117</v>
      </c>
      <c r="N86" s="7">
        <v>45390</v>
      </c>
      <c r="O86" t="s">
        <v>115</v>
      </c>
      <c r="P86" s="1">
        <v>0.22569444444444445</v>
      </c>
      <c r="Q86" t="s">
        <v>116</v>
      </c>
      <c r="R86">
        <v>100</v>
      </c>
      <c r="T86" t="s">
        <v>117</v>
      </c>
    </row>
    <row r="87" spans="1:20" x14ac:dyDescent="0.3">
      <c r="A87" t="s">
        <v>115</v>
      </c>
      <c r="B87" s="8">
        <v>0.22916666666666666</v>
      </c>
      <c r="C87" t="s">
        <v>116</v>
      </c>
      <c r="D87">
        <v>100</v>
      </c>
      <c r="E87">
        <v>338.6</v>
      </c>
      <c r="F87" t="s">
        <v>117</v>
      </c>
      <c r="N87" s="7">
        <v>45390</v>
      </c>
      <c r="O87" t="s">
        <v>115</v>
      </c>
      <c r="P87" s="1">
        <v>0.22916666666666666</v>
      </c>
      <c r="Q87" t="s">
        <v>116</v>
      </c>
      <c r="R87">
        <v>100</v>
      </c>
      <c r="T87" t="s">
        <v>117</v>
      </c>
    </row>
    <row r="88" spans="1:20" x14ac:dyDescent="0.3">
      <c r="A88" t="s">
        <v>115</v>
      </c>
      <c r="B88" s="8">
        <v>0.2326388888888889</v>
      </c>
      <c r="C88" t="s">
        <v>116</v>
      </c>
      <c r="D88">
        <v>100</v>
      </c>
      <c r="E88">
        <v>340</v>
      </c>
      <c r="F88" t="s">
        <v>117</v>
      </c>
      <c r="N88" s="7">
        <v>45390</v>
      </c>
      <c r="O88" t="s">
        <v>115</v>
      </c>
      <c r="P88" s="1">
        <v>0.2326388888888889</v>
      </c>
      <c r="Q88" t="s">
        <v>116</v>
      </c>
      <c r="R88">
        <v>100</v>
      </c>
      <c r="T88" t="s">
        <v>117</v>
      </c>
    </row>
    <row r="89" spans="1:20" x14ac:dyDescent="0.3">
      <c r="A89" t="s">
        <v>115</v>
      </c>
      <c r="B89" s="8">
        <v>0.2361111111111111</v>
      </c>
      <c r="C89" t="s">
        <v>116</v>
      </c>
      <c r="D89">
        <v>100</v>
      </c>
      <c r="E89">
        <v>338.2</v>
      </c>
      <c r="F89" t="s">
        <v>117</v>
      </c>
      <c r="N89" s="7">
        <v>45390</v>
      </c>
      <c r="O89" t="s">
        <v>115</v>
      </c>
      <c r="P89" s="1">
        <v>0.2361111111111111</v>
      </c>
      <c r="Q89" t="s">
        <v>116</v>
      </c>
      <c r="R89">
        <v>100</v>
      </c>
      <c r="T89" t="s">
        <v>117</v>
      </c>
    </row>
    <row r="90" spans="1:20" x14ac:dyDescent="0.3">
      <c r="A90" t="s">
        <v>115</v>
      </c>
      <c r="B90" s="8">
        <v>0.23958333333333334</v>
      </c>
      <c r="C90" t="s">
        <v>116</v>
      </c>
      <c r="D90">
        <v>100</v>
      </c>
      <c r="E90">
        <v>326.7</v>
      </c>
      <c r="F90" t="s">
        <v>117</v>
      </c>
      <c r="N90" s="7">
        <v>45390</v>
      </c>
      <c r="O90" t="s">
        <v>115</v>
      </c>
      <c r="P90" s="1">
        <v>0.23958333333333334</v>
      </c>
      <c r="Q90" t="s">
        <v>116</v>
      </c>
      <c r="R90">
        <v>100</v>
      </c>
      <c r="T90" t="s">
        <v>117</v>
      </c>
    </row>
    <row r="91" spans="1:20" x14ac:dyDescent="0.3">
      <c r="A91" t="s">
        <v>115</v>
      </c>
      <c r="B91" s="8">
        <v>0.24305555555555555</v>
      </c>
      <c r="C91" t="s">
        <v>116</v>
      </c>
      <c r="D91">
        <v>100</v>
      </c>
      <c r="E91">
        <v>331.7</v>
      </c>
      <c r="F91" t="s">
        <v>117</v>
      </c>
      <c r="N91" s="7">
        <v>45390</v>
      </c>
      <c r="O91" t="s">
        <v>115</v>
      </c>
      <c r="P91" s="1">
        <v>0.24305555555555555</v>
      </c>
      <c r="Q91" t="s">
        <v>116</v>
      </c>
      <c r="R91">
        <v>100</v>
      </c>
      <c r="T91" t="s">
        <v>117</v>
      </c>
    </row>
    <row r="92" spans="1:20" x14ac:dyDescent="0.3">
      <c r="A92" t="s">
        <v>115</v>
      </c>
      <c r="B92" s="8">
        <v>0.24652777777777779</v>
      </c>
      <c r="C92" t="s">
        <v>116</v>
      </c>
      <c r="D92">
        <v>100</v>
      </c>
      <c r="E92">
        <v>329.4</v>
      </c>
      <c r="F92" t="s">
        <v>117</v>
      </c>
      <c r="N92" s="7">
        <v>45390</v>
      </c>
      <c r="O92" t="s">
        <v>115</v>
      </c>
      <c r="P92" s="1">
        <v>0.24652777777777779</v>
      </c>
      <c r="Q92" t="s">
        <v>116</v>
      </c>
      <c r="R92">
        <v>100</v>
      </c>
      <c r="T92" t="s">
        <v>117</v>
      </c>
    </row>
    <row r="93" spans="1:20" x14ac:dyDescent="0.3">
      <c r="A93" t="s">
        <v>115</v>
      </c>
      <c r="B93" s="8">
        <v>0.25</v>
      </c>
      <c r="C93" t="s">
        <v>116</v>
      </c>
      <c r="D93">
        <v>100</v>
      </c>
      <c r="E93">
        <v>313.2</v>
      </c>
      <c r="F93" t="s">
        <v>117</v>
      </c>
      <c r="N93" s="7">
        <v>45390</v>
      </c>
      <c r="O93" t="s">
        <v>115</v>
      </c>
      <c r="P93" s="1">
        <v>0.25</v>
      </c>
      <c r="Q93" t="s">
        <v>116</v>
      </c>
      <c r="R93">
        <v>100</v>
      </c>
      <c r="T93" t="s">
        <v>117</v>
      </c>
    </row>
    <row r="94" spans="1:20" x14ac:dyDescent="0.3">
      <c r="A94" t="s">
        <v>115</v>
      </c>
      <c r="B94" s="8">
        <v>0.25347222222222221</v>
      </c>
      <c r="C94" t="s">
        <v>116</v>
      </c>
      <c r="D94">
        <v>100</v>
      </c>
      <c r="E94">
        <v>333.6</v>
      </c>
      <c r="F94" t="s">
        <v>117</v>
      </c>
      <c r="N94" s="7">
        <v>45390</v>
      </c>
      <c r="O94" t="s">
        <v>115</v>
      </c>
      <c r="P94" s="1">
        <v>0.25347222222222221</v>
      </c>
      <c r="Q94" t="s">
        <v>116</v>
      </c>
      <c r="R94">
        <v>100</v>
      </c>
      <c r="T94" t="s">
        <v>117</v>
      </c>
    </row>
    <row r="95" spans="1:20" x14ac:dyDescent="0.3">
      <c r="A95" t="s">
        <v>115</v>
      </c>
      <c r="B95" s="8">
        <v>0.25694444444444442</v>
      </c>
      <c r="C95" t="s">
        <v>116</v>
      </c>
      <c r="D95">
        <v>100</v>
      </c>
      <c r="E95">
        <v>322.2</v>
      </c>
      <c r="F95" t="s">
        <v>117</v>
      </c>
      <c r="N95" s="7">
        <v>45390</v>
      </c>
      <c r="O95" t="s">
        <v>115</v>
      </c>
      <c r="P95" s="1">
        <v>0.25694444444444442</v>
      </c>
      <c r="Q95" t="s">
        <v>116</v>
      </c>
      <c r="R95">
        <v>100</v>
      </c>
      <c r="T95" t="s">
        <v>117</v>
      </c>
    </row>
    <row r="96" spans="1:20" x14ac:dyDescent="0.3">
      <c r="A96" t="s">
        <v>115</v>
      </c>
      <c r="B96" s="8">
        <v>0.26041666666666669</v>
      </c>
      <c r="C96" t="s">
        <v>116</v>
      </c>
      <c r="D96">
        <v>100</v>
      </c>
      <c r="E96">
        <v>336.2</v>
      </c>
      <c r="F96" t="s">
        <v>117</v>
      </c>
      <c r="N96" s="7">
        <v>45390</v>
      </c>
      <c r="O96" t="s">
        <v>115</v>
      </c>
      <c r="P96" s="1">
        <v>0.26041666666666669</v>
      </c>
      <c r="Q96" t="s">
        <v>116</v>
      </c>
      <c r="R96">
        <v>100</v>
      </c>
      <c r="T96" t="s">
        <v>117</v>
      </c>
    </row>
    <row r="97" spans="1:20" x14ac:dyDescent="0.3">
      <c r="A97" t="s">
        <v>115</v>
      </c>
      <c r="B97" s="8">
        <v>0.2638888888888889</v>
      </c>
      <c r="C97" t="s">
        <v>116</v>
      </c>
      <c r="D97">
        <v>100</v>
      </c>
      <c r="E97">
        <v>350.1</v>
      </c>
      <c r="F97" t="s">
        <v>117</v>
      </c>
      <c r="N97" s="7">
        <v>45390</v>
      </c>
      <c r="O97" t="s">
        <v>115</v>
      </c>
      <c r="P97" s="1">
        <v>0.2638888888888889</v>
      </c>
      <c r="Q97" t="s">
        <v>116</v>
      </c>
      <c r="R97">
        <v>100</v>
      </c>
      <c r="T97" t="s">
        <v>117</v>
      </c>
    </row>
    <row r="98" spans="1:20" x14ac:dyDescent="0.3">
      <c r="A98" t="s">
        <v>115</v>
      </c>
      <c r="B98" s="8">
        <v>0.2673611111111111</v>
      </c>
      <c r="C98" t="s">
        <v>116</v>
      </c>
      <c r="D98">
        <v>100</v>
      </c>
      <c r="E98">
        <v>347.5</v>
      </c>
      <c r="F98" t="s">
        <v>117</v>
      </c>
      <c r="N98" s="7">
        <v>45390</v>
      </c>
      <c r="O98" t="s">
        <v>115</v>
      </c>
      <c r="P98" s="1">
        <v>0.2673611111111111</v>
      </c>
      <c r="Q98" t="s">
        <v>116</v>
      </c>
      <c r="R98">
        <v>100</v>
      </c>
      <c r="T98" t="s">
        <v>117</v>
      </c>
    </row>
    <row r="99" spans="1:20" x14ac:dyDescent="0.3">
      <c r="A99" t="s">
        <v>115</v>
      </c>
      <c r="B99" s="8">
        <v>0.27083333333333331</v>
      </c>
      <c r="C99" t="s">
        <v>116</v>
      </c>
      <c r="D99">
        <v>100</v>
      </c>
      <c r="E99">
        <v>356</v>
      </c>
      <c r="F99" t="s">
        <v>117</v>
      </c>
      <c r="N99" s="7">
        <v>45390</v>
      </c>
      <c r="O99" t="s">
        <v>115</v>
      </c>
      <c r="P99" s="1">
        <v>0.27083333333333331</v>
      </c>
      <c r="Q99" t="s">
        <v>116</v>
      </c>
      <c r="R99">
        <v>100</v>
      </c>
      <c r="T99" t="s">
        <v>117</v>
      </c>
    </row>
    <row r="100" spans="1:20" x14ac:dyDescent="0.3">
      <c r="A100" t="s">
        <v>115</v>
      </c>
      <c r="B100" s="8">
        <v>0.27430555555555558</v>
      </c>
      <c r="C100" t="s">
        <v>116</v>
      </c>
      <c r="D100">
        <v>100</v>
      </c>
      <c r="E100">
        <v>360.1</v>
      </c>
      <c r="F100" t="s">
        <v>117</v>
      </c>
      <c r="N100" s="7">
        <v>45390</v>
      </c>
      <c r="O100" t="s">
        <v>115</v>
      </c>
      <c r="P100" s="1">
        <v>0.27430555555555558</v>
      </c>
      <c r="Q100" t="s">
        <v>116</v>
      </c>
      <c r="R100">
        <v>100</v>
      </c>
      <c r="T100" t="s">
        <v>117</v>
      </c>
    </row>
    <row r="101" spans="1:20" x14ac:dyDescent="0.3">
      <c r="A101" t="s">
        <v>115</v>
      </c>
      <c r="B101" s="8">
        <v>0.27777777777777779</v>
      </c>
      <c r="C101" t="s">
        <v>116</v>
      </c>
      <c r="D101">
        <v>100</v>
      </c>
      <c r="E101">
        <v>344.1</v>
      </c>
      <c r="F101" t="s">
        <v>117</v>
      </c>
      <c r="N101" s="7">
        <v>45390</v>
      </c>
      <c r="O101" t="s">
        <v>115</v>
      </c>
      <c r="P101" s="1">
        <v>0.27777777777777779</v>
      </c>
      <c r="Q101" t="s">
        <v>116</v>
      </c>
      <c r="R101">
        <v>100</v>
      </c>
      <c r="T101" t="s">
        <v>117</v>
      </c>
    </row>
    <row r="102" spans="1:20" x14ac:dyDescent="0.3">
      <c r="A102" t="s">
        <v>115</v>
      </c>
      <c r="B102" s="8">
        <v>0.28125</v>
      </c>
      <c r="C102" t="s">
        <v>116</v>
      </c>
      <c r="D102">
        <v>100</v>
      </c>
      <c r="E102">
        <v>365.3</v>
      </c>
      <c r="F102" t="s">
        <v>117</v>
      </c>
      <c r="N102" s="7">
        <v>45390</v>
      </c>
      <c r="O102" t="s">
        <v>115</v>
      </c>
      <c r="P102" s="1">
        <v>0.28125</v>
      </c>
      <c r="Q102" t="s">
        <v>116</v>
      </c>
      <c r="R102">
        <v>100</v>
      </c>
      <c r="T102" t="s">
        <v>117</v>
      </c>
    </row>
    <row r="103" spans="1:20" x14ac:dyDescent="0.3">
      <c r="A103" t="s">
        <v>115</v>
      </c>
      <c r="B103" s="8">
        <v>0.28472222222222221</v>
      </c>
      <c r="C103" t="s">
        <v>116</v>
      </c>
      <c r="D103">
        <v>100</v>
      </c>
      <c r="E103">
        <v>356.9</v>
      </c>
      <c r="F103" t="s">
        <v>117</v>
      </c>
      <c r="N103" s="7">
        <v>45390</v>
      </c>
      <c r="O103" t="s">
        <v>115</v>
      </c>
      <c r="P103" s="1">
        <v>0.28472222222222221</v>
      </c>
      <c r="Q103" t="s">
        <v>116</v>
      </c>
      <c r="R103">
        <v>100</v>
      </c>
      <c r="T103" t="s">
        <v>117</v>
      </c>
    </row>
    <row r="104" spans="1:20" x14ac:dyDescent="0.3">
      <c r="A104" t="s">
        <v>115</v>
      </c>
      <c r="B104" s="8">
        <v>0.28819444444444442</v>
      </c>
      <c r="C104" t="s">
        <v>116</v>
      </c>
      <c r="D104">
        <v>100</v>
      </c>
      <c r="E104">
        <v>364.6</v>
      </c>
      <c r="F104" t="s">
        <v>117</v>
      </c>
      <c r="N104" s="7">
        <v>45390</v>
      </c>
      <c r="O104" t="s">
        <v>115</v>
      </c>
      <c r="P104" s="1">
        <v>0.28819444444444442</v>
      </c>
      <c r="Q104" t="s">
        <v>116</v>
      </c>
      <c r="R104">
        <v>100</v>
      </c>
      <c r="T104" t="s">
        <v>117</v>
      </c>
    </row>
    <row r="105" spans="1:20" x14ac:dyDescent="0.3">
      <c r="A105" t="s">
        <v>115</v>
      </c>
      <c r="B105" s="8">
        <v>0.29166666666666669</v>
      </c>
      <c r="C105" t="s">
        <v>116</v>
      </c>
      <c r="D105">
        <v>100</v>
      </c>
      <c r="E105">
        <v>364</v>
      </c>
      <c r="F105" t="s">
        <v>117</v>
      </c>
      <c r="N105" s="7">
        <v>45390</v>
      </c>
      <c r="O105" t="s">
        <v>115</v>
      </c>
      <c r="P105" s="1">
        <v>0.29166666666666669</v>
      </c>
      <c r="Q105" t="s">
        <v>116</v>
      </c>
      <c r="R105">
        <v>100</v>
      </c>
      <c r="T105" t="s">
        <v>117</v>
      </c>
    </row>
    <row r="106" spans="1:20" x14ac:dyDescent="0.3">
      <c r="A106" t="s">
        <v>115</v>
      </c>
      <c r="B106" s="8">
        <v>0.2951388888888889</v>
      </c>
      <c r="C106" t="s">
        <v>116</v>
      </c>
      <c r="D106">
        <v>100</v>
      </c>
      <c r="E106">
        <v>362.3</v>
      </c>
      <c r="F106" t="s">
        <v>117</v>
      </c>
      <c r="N106" s="7">
        <v>45390</v>
      </c>
      <c r="O106" t="s">
        <v>115</v>
      </c>
      <c r="P106" s="1">
        <v>0.2951388888888889</v>
      </c>
      <c r="Q106" t="s">
        <v>116</v>
      </c>
      <c r="R106">
        <v>100</v>
      </c>
      <c r="T106" t="s">
        <v>117</v>
      </c>
    </row>
    <row r="107" spans="1:20" x14ac:dyDescent="0.3">
      <c r="A107" t="s">
        <v>115</v>
      </c>
      <c r="B107" s="8">
        <v>0.2986111111111111</v>
      </c>
      <c r="C107" t="s">
        <v>116</v>
      </c>
      <c r="D107">
        <v>100</v>
      </c>
      <c r="E107">
        <v>348.1</v>
      </c>
      <c r="F107" t="s">
        <v>117</v>
      </c>
      <c r="N107" s="7">
        <v>45390</v>
      </c>
      <c r="O107" t="s">
        <v>115</v>
      </c>
      <c r="P107" s="1">
        <v>0.2986111111111111</v>
      </c>
      <c r="Q107" t="s">
        <v>116</v>
      </c>
      <c r="R107">
        <v>100</v>
      </c>
      <c r="T107" t="s">
        <v>117</v>
      </c>
    </row>
    <row r="108" spans="1:20" x14ac:dyDescent="0.3">
      <c r="A108" t="s">
        <v>115</v>
      </c>
      <c r="B108" s="8">
        <v>0.30208333333333331</v>
      </c>
      <c r="C108" t="s">
        <v>116</v>
      </c>
      <c r="D108">
        <v>100</v>
      </c>
      <c r="E108">
        <v>361.4</v>
      </c>
      <c r="F108" t="s">
        <v>117</v>
      </c>
      <c r="N108" s="7">
        <v>45390</v>
      </c>
      <c r="O108" t="s">
        <v>115</v>
      </c>
      <c r="P108" s="1">
        <v>0.30208333333333331</v>
      </c>
      <c r="Q108" t="s">
        <v>116</v>
      </c>
      <c r="R108">
        <v>100</v>
      </c>
      <c r="T108" t="s">
        <v>117</v>
      </c>
    </row>
    <row r="109" spans="1:20" x14ac:dyDescent="0.3">
      <c r="A109" t="s">
        <v>115</v>
      </c>
      <c r="B109" s="8">
        <v>0.30555555555555558</v>
      </c>
      <c r="C109" t="s">
        <v>116</v>
      </c>
      <c r="D109">
        <v>100</v>
      </c>
      <c r="E109">
        <v>367.4</v>
      </c>
      <c r="F109" t="s">
        <v>117</v>
      </c>
      <c r="N109" s="7">
        <v>45390</v>
      </c>
      <c r="O109" t="s">
        <v>115</v>
      </c>
      <c r="P109" s="1">
        <v>0.30555555555555558</v>
      </c>
      <c r="Q109" t="s">
        <v>116</v>
      </c>
      <c r="R109">
        <v>100</v>
      </c>
      <c r="T109" t="s">
        <v>117</v>
      </c>
    </row>
    <row r="110" spans="1:20" x14ac:dyDescent="0.3">
      <c r="A110" t="s">
        <v>115</v>
      </c>
      <c r="B110" s="8">
        <v>0.30902777777777779</v>
      </c>
      <c r="C110" t="s">
        <v>116</v>
      </c>
      <c r="D110">
        <v>100</v>
      </c>
      <c r="E110">
        <v>375.5</v>
      </c>
      <c r="F110" t="s">
        <v>117</v>
      </c>
      <c r="N110" s="7">
        <v>45390</v>
      </c>
      <c r="O110" t="s">
        <v>115</v>
      </c>
      <c r="P110" s="1">
        <v>0.30902777777777779</v>
      </c>
      <c r="Q110" t="s">
        <v>116</v>
      </c>
      <c r="R110">
        <v>100</v>
      </c>
      <c r="T110" t="s">
        <v>117</v>
      </c>
    </row>
    <row r="111" spans="1:20" x14ac:dyDescent="0.3">
      <c r="A111" t="s">
        <v>115</v>
      </c>
      <c r="B111" s="8">
        <v>0.3125</v>
      </c>
      <c r="C111" t="s">
        <v>116</v>
      </c>
      <c r="D111">
        <v>100</v>
      </c>
      <c r="E111">
        <v>375.3</v>
      </c>
      <c r="F111" t="s">
        <v>117</v>
      </c>
      <c r="N111" s="7">
        <v>45390</v>
      </c>
      <c r="O111" t="s">
        <v>115</v>
      </c>
      <c r="P111" s="1">
        <v>0.3125</v>
      </c>
      <c r="Q111" t="s">
        <v>116</v>
      </c>
      <c r="R111">
        <v>100</v>
      </c>
      <c r="T111" t="s">
        <v>117</v>
      </c>
    </row>
    <row r="112" spans="1:20" x14ac:dyDescent="0.3">
      <c r="A112" t="s">
        <v>115</v>
      </c>
      <c r="B112" s="8">
        <v>0.31597222222222221</v>
      </c>
      <c r="C112" t="s">
        <v>116</v>
      </c>
      <c r="D112">
        <v>100</v>
      </c>
      <c r="E112">
        <v>366.5</v>
      </c>
      <c r="F112" t="s">
        <v>117</v>
      </c>
      <c r="N112" s="7">
        <v>45390</v>
      </c>
      <c r="O112" t="s">
        <v>115</v>
      </c>
      <c r="P112" s="1">
        <v>0.31597222222222221</v>
      </c>
      <c r="Q112" t="s">
        <v>116</v>
      </c>
      <c r="R112">
        <v>100</v>
      </c>
      <c r="T112" t="s">
        <v>117</v>
      </c>
    </row>
    <row r="113" spans="1:20" x14ac:dyDescent="0.3">
      <c r="A113" t="s">
        <v>115</v>
      </c>
      <c r="B113" s="8">
        <v>0.31944444444444442</v>
      </c>
      <c r="C113" t="s">
        <v>116</v>
      </c>
      <c r="D113">
        <v>100</v>
      </c>
      <c r="E113">
        <v>370.7</v>
      </c>
      <c r="F113" t="s">
        <v>117</v>
      </c>
      <c r="N113" s="7">
        <v>45390</v>
      </c>
      <c r="O113" t="s">
        <v>115</v>
      </c>
      <c r="P113" s="1">
        <v>0.31944444444444442</v>
      </c>
      <c r="Q113" t="s">
        <v>116</v>
      </c>
      <c r="R113">
        <v>100</v>
      </c>
      <c r="T113" t="s">
        <v>117</v>
      </c>
    </row>
    <row r="114" spans="1:20" x14ac:dyDescent="0.3">
      <c r="A114" t="s">
        <v>115</v>
      </c>
      <c r="B114" s="8">
        <v>0.32291666666666669</v>
      </c>
      <c r="C114" t="s">
        <v>116</v>
      </c>
      <c r="D114">
        <v>100</v>
      </c>
      <c r="E114">
        <v>358.6</v>
      </c>
      <c r="F114" t="s">
        <v>117</v>
      </c>
      <c r="N114" s="7">
        <v>45390</v>
      </c>
      <c r="O114" t="s">
        <v>115</v>
      </c>
      <c r="P114" s="1">
        <v>0.32291666666666669</v>
      </c>
      <c r="Q114" t="s">
        <v>116</v>
      </c>
      <c r="R114">
        <v>100</v>
      </c>
      <c r="T114" t="s">
        <v>117</v>
      </c>
    </row>
    <row r="115" spans="1:20" x14ac:dyDescent="0.3">
      <c r="A115" t="s">
        <v>115</v>
      </c>
      <c r="B115" s="8">
        <v>0.3263888888888889</v>
      </c>
      <c r="C115" t="s">
        <v>116</v>
      </c>
      <c r="D115">
        <v>100</v>
      </c>
      <c r="E115">
        <v>359.6</v>
      </c>
      <c r="F115" t="s">
        <v>117</v>
      </c>
      <c r="N115" s="7">
        <v>45390</v>
      </c>
      <c r="O115" t="s">
        <v>115</v>
      </c>
      <c r="P115" s="1">
        <v>0.3263888888888889</v>
      </c>
      <c r="Q115" t="s">
        <v>116</v>
      </c>
      <c r="R115">
        <v>100</v>
      </c>
      <c r="T115" t="s">
        <v>117</v>
      </c>
    </row>
    <row r="116" spans="1:20" x14ac:dyDescent="0.3">
      <c r="A116" t="s">
        <v>115</v>
      </c>
      <c r="B116" s="8">
        <v>0.3298611111111111</v>
      </c>
      <c r="C116" t="s">
        <v>116</v>
      </c>
      <c r="D116">
        <v>100</v>
      </c>
      <c r="E116">
        <v>329.3</v>
      </c>
      <c r="F116" t="s">
        <v>117</v>
      </c>
      <c r="N116" s="7">
        <v>45390</v>
      </c>
      <c r="O116" t="s">
        <v>115</v>
      </c>
      <c r="P116" s="1">
        <v>0.3298611111111111</v>
      </c>
      <c r="Q116" t="s">
        <v>116</v>
      </c>
      <c r="R116">
        <v>100</v>
      </c>
      <c r="T116" t="s">
        <v>117</v>
      </c>
    </row>
    <row r="117" spans="1:20" x14ac:dyDescent="0.3">
      <c r="A117" t="s">
        <v>115</v>
      </c>
      <c r="B117" s="8">
        <v>0.33333333333333331</v>
      </c>
      <c r="C117" t="s">
        <v>116</v>
      </c>
      <c r="D117">
        <v>100</v>
      </c>
      <c r="E117">
        <v>351.5</v>
      </c>
      <c r="F117" t="s">
        <v>117</v>
      </c>
      <c r="N117" s="7">
        <v>45390</v>
      </c>
      <c r="O117" t="s">
        <v>115</v>
      </c>
      <c r="P117" s="1">
        <v>0.33333333333333331</v>
      </c>
      <c r="Q117" t="s">
        <v>116</v>
      </c>
      <c r="R117">
        <v>100</v>
      </c>
      <c r="T117" t="s">
        <v>117</v>
      </c>
    </row>
    <row r="118" spans="1:20" x14ac:dyDescent="0.3">
      <c r="A118" t="s">
        <v>115</v>
      </c>
      <c r="B118" s="8">
        <v>0.33680555555555558</v>
      </c>
      <c r="C118" t="s">
        <v>116</v>
      </c>
      <c r="D118">
        <v>100</v>
      </c>
      <c r="E118">
        <v>317.89999999999998</v>
      </c>
      <c r="F118" t="s">
        <v>117</v>
      </c>
      <c r="N118" s="7">
        <v>45390</v>
      </c>
      <c r="O118" t="s">
        <v>115</v>
      </c>
      <c r="P118" s="1">
        <v>0.33680555555555558</v>
      </c>
      <c r="Q118" t="s">
        <v>116</v>
      </c>
      <c r="R118">
        <v>100</v>
      </c>
      <c r="T118" t="s">
        <v>117</v>
      </c>
    </row>
    <row r="119" spans="1:20" x14ac:dyDescent="0.3">
      <c r="A119" t="s">
        <v>115</v>
      </c>
      <c r="B119" s="8">
        <v>0.34027777777777779</v>
      </c>
      <c r="C119" t="s">
        <v>116</v>
      </c>
      <c r="D119">
        <v>100</v>
      </c>
      <c r="E119">
        <v>361.2</v>
      </c>
      <c r="F119" t="s">
        <v>117</v>
      </c>
      <c r="N119" s="7">
        <v>45390</v>
      </c>
      <c r="O119" t="s">
        <v>115</v>
      </c>
      <c r="P119" s="1">
        <v>0.34027777777777779</v>
      </c>
      <c r="Q119" t="s">
        <v>116</v>
      </c>
      <c r="R119">
        <v>100</v>
      </c>
      <c r="T119" t="s">
        <v>117</v>
      </c>
    </row>
    <row r="120" spans="1:20" x14ac:dyDescent="0.3">
      <c r="A120" t="s">
        <v>115</v>
      </c>
      <c r="B120" s="8">
        <v>0.34375</v>
      </c>
      <c r="C120" t="s">
        <v>116</v>
      </c>
      <c r="D120">
        <v>100</v>
      </c>
      <c r="E120">
        <v>368.7</v>
      </c>
      <c r="F120" t="s">
        <v>117</v>
      </c>
      <c r="N120" s="7">
        <v>45390</v>
      </c>
      <c r="O120" t="s">
        <v>115</v>
      </c>
      <c r="P120" s="1">
        <v>0.34375</v>
      </c>
      <c r="Q120" t="s">
        <v>116</v>
      </c>
      <c r="R120">
        <v>100</v>
      </c>
      <c r="T120" t="s">
        <v>117</v>
      </c>
    </row>
    <row r="121" spans="1:20" x14ac:dyDescent="0.3">
      <c r="A121" t="s">
        <v>115</v>
      </c>
      <c r="B121" s="8">
        <v>0.34722222222222221</v>
      </c>
      <c r="C121" t="s">
        <v>116</v>
      </c>
      <c r="D121">
        <v>100</v>
      </c>
      <c r="E121">
        <v>368.3</v>
      </c>
      <c r="F121" t="s">
        <v>117</v>
      </c>
      <c r="N121" s="7">
        <v>45390</v>
      </c>
      <c r="O121" t="s">
        <v>115</v>
      </c>
      <c r="P121" s="1">
        <v>0.34722222222222221</v>
      </c>
      <c r="Q121" t="s">
        <v>116</v>
      </c>
      <c r="R121">
        <v>100</v>
      </c>
      <c r="T121" t="s">
        <v>117</v>
      </c>
    </row>
    <row r="122" spans="1:20" x14ac:dyDescent="0.3">
      <c r="A122" t="s">
        <v>115</v>
      </c>
      <c r="B122" s="8">
        <v>0.35069444444444442</v>
      </c>
      <c r="C122" t="s">
        <v>116</v>
      </c>
      <c r="D122">
        <v>100</v>
      </c>
      <c r="E122">
        <v>354</v>
      </c>
      <c r="F122" t="s">
        <v>117</v>
      </c>
      <c r="N122" s="7">
        <v>45390</v>
      </c>
      <c r="O122" t="s">
        <v>115</v>
      </c>
      <c r="P122" s="1">
        <v>0.35069444444444442</v>
      </c>
      <c r="Q122" t="s">
        <v>116</v>
      </c>
      <c r="R122">
        <v>100</v>
      </c>
      <c r="T122" t="s">
        <v>117</v>
      </c>
    </row>
    <row r="123" spans="1:20" x14ac:dyDescent="0.3">
      <c r="A123" t="s">
        <v>115</v>
      </c>
      <c r="B123" s="8">
        <v>0.35416666666666669</v>
      </c>
      <c r="C123" t="s">
        <v>116</v>
      </c>
      <c r="D123">
        <v>100</v>
      </c>
      <c r="E123">
        <v>361.3</v>
      </c>
      <c r="F123" t="s">
        <v>117</v>
      </c>
      <c r="N123" s="7">
        <v>45390</v>
      </c>
      <c r="O123" t="s">
        <v>115</v>
      </c>
      <c r="P123" s="1">
        <v>0.35416666666666669</v>
      </c>
      <c r="Q123" t="s">
        <v>116</v>
      </c>
      <c r="R123">
        <v>100</v>
      </c>
      <c r="T123" t="s">
        <v>117</v>
      </c>
    </row>
    <row r="124" spans="1:20" x14ac:dyDescent="0.3">
      <c r="A124" t="s">
        <v>115</v>
      </c>
      <c r="B124" s="8">
        <v>0.3576388888888889</v>
      </c>
      <c r="C124" t="s">
        <v>116</v>
      </c>
      <c r="D124">
        <v>100</v>
      </c>
      <c r="E124">
        <v>368</v>
      </c>
      <c r="F124" t="s">
        <v>117</v>
      </c>
      <c r="N124" s="7">
        <v>45390</v>
      </c>
      <c r="O124" t="s">
        <v>115</v>
      </c>
      <c r="P124" s="1">
        <v>0.3576388888888889</v>
      </c>
      <c r="Q124" t="s">
        <v>116</v>
      </c>
      <c r="R124">
        <v>100</v>
      </c>
      <c r="T124" t="s">
        <v>117</v>
      </c>
    </row>
    <row r="125" spans="1:20" x14ac:dyDescent="0.3">
      <c r="A125" t="s">
        <v>115</v>
      </c>
      <c r="B125" s="8">
        <v>0.3611111111111111</v>
      </c>
      <c r="C125" t="s">
        <v>116</v>
      </c>
      <c r="D125">
        <v>100</v>
      </c>
      <c r="E125">
        <v>354</v>
      </c>
      <c r="F125" t="s">
        <v>117</v>
      </c>
      <c r="N125" s="7">
        <v>45390</v>
      </c>
      <c r="O125" t="s">
        <v>115</v>
      </c>
      <c r="P125" s="1">
        <v>0.3611111111111111</v>
      </c>
      <c r="Q125" t="s">
        <v>116</v>
      </c>
      <c r="R125">
        <v>100</v>
      </c>
      <c r="T125" t="s">
        <v>117</v>
      </c>
    </row>
    <row r="126" spans="1:20" x14ac:dyDescent="0.3">
      <c r="A126" t="s">
        <v>115</v>
      </c>
      <c r="B126" s="8">
        <v>0.36458333333333331</v>
      </c>
      <c r="C126" t="s">
        <v>116</v>
      </c>
      <c r="D126">
        <v>100</v>
      </c>
      <c r="E126">
        <v>358.6</v>
      </c>
      <c r="F126" t="s">
        <v>117</v>
      </c>
      <c r="N126" s="7">
        <v>45390</v>
      </c>
      <c r="O126" t="s">
        <v>115</v>
      </c>
      <c r="P126" s="1">
        <v>0.36458333333333331</v>
      </c>
      <c r="Q126" t="s">
        <v>116</v>
      </c>
      <c r="R126">
        <v>100</v>
      </c>
      <c r="T126" t="s">
        <v>117</v>
      </c>
    </row>
    <row r="127" spans="1:20" x14ac:dyDescent="0.3">
      <c r="A127" t="s">
        <v>115</v>
      </c>
      <c r="B127" s="8">
        <v>0.36805555555555558</v>
      </c>
      <c r="C127" t="s">
        <v>116</v>
      </c>
      <c r="D127">
        <v>100</v>
      </c>
      <c r="E127">
        <v>360.8</v>
      </c>
      <c r="F127" t="s">
        <v>117</v>
      </c>
      <c r="N127" s="7">
        <v>45390</v>
      </c>
      <c r="O127" t="s">
        <v>115</v>
      </c>
      <c r="P127" s="1">
        <v>0.36805555555555558</v>
      </c>
      <c r="Q127" t="s">
        <v>116</v>
      </c>
      <c r="R127">
        <v>100</v>
      </c>
      <c r="T127" t="s">
        <v>117</v>
      </c>
    </row>
    <row r="128" spans="1:20" x14ac:dyDescent="0.3">
      <c r="A128" t="s">
        <v>115</v>
      </c>
      <c r="B128" s="8">
        <v>0.37152777777777779</v>
      </c>
      <c r="C128" t="s">
        <v>116</v>
      </c>
      <c r="D128">
        <v>100</v>
      </c>
      <c r="E128">
        <v>355.9</v>
      </c>
      <c r="F128" t="s">
        <v>117</v>
      </c>
      <c r="N128" s="7">
        <v>45390</v>
      </c>
      <c r="O128" t="s">
        <v>115</v>
      </c>
      <c r="P128" s="1">
        <v>0.37152777777777779</v>
      </c>
      <c r="Q128" t="s">
        <v>116</v>
      </c>
      <c r="R128">
        <v>100</v>
      </c>
      <c r="T128" t="s">
        <v>117</v>
      </c>
    </row>
    <row r="129" spans="1:20" x14ac:dyDescent="0.3">
      <c r="A129" t="s">
        <v>115</v>
      </c>
      <c r="B129" s="8">
        <v>0.375</v>
      </c>
      <c r="C129" t="s">
        <v>116</v>
      </c>
      <c r="D129">
        <v>100</v>
      </c>
      <c r="E129">
        <v>346.1</v>
      </c>
      <c r="F129" t="s">
        <v>117</v>
      </c>
      <c r="N129" s="7">
        <v>45390</v>
      </c>
      <c r="O129" t="s">
        <v>115</v>
      </c>
      <c r="P129" s="1">
        <v>0.375</v>
      </c>
      <c r="Q129" t="s">
        <v>116</v>
      </c>
      <c r="R129">
        <v>100</v>
      </c>
      <c r="T129" t="s">
        <v>117</v>
      </c>
    </row>
    <row r="130" spans="1:20" x14ac:dyDescent="0.3">
      <c r="A130" t="s">
        <v>115</v>
      </c>
      <c r="B130" s="8">
        <v>0.37847222222222221</v>
      </c>
      <c r="C130" t="s">
        <v>116</v>
      </c>
      <c r="D130">
        <v>100</v>
      </c>
      <c r="E130">
        <v>357.1</v>
      </c>
      <c r="F130" t="s">
        <v>117</v>
      </c>
      <c r="N130" s="7">
        <v>45390</v>
      </c>
      <c r="O130" t="s">
        <v>115</v>
      </c>
      <c r="P130" s="1">
        <v>0.37847222222222221</v>
      </c>
      <c r="Q130" t="s">
        <v>116</v>
      </c>
      <c r="R130">
        <v>100</v>
      </c>
      <c r="T130" t="s">
        <v>117</v>
      </c>
    </row>
    <row r="131" spans="1:20" x14ac:dyDescent="0.3">
      <c r="A131" t="s">
        <v>115</v>
      </c>
      <c r="B131" s="8">
        <v>0.38194444444444442</v>
      </c>
      <c r="C131" t="s">
        <v>116</v>
      </c>
      <c r="D131">
        <v>100</v>
      </c>
      <c r="E131">
        <v>346.8</v>
      </c>
      <c r="F131" t="s">
        <v>117</v>
      </c>
      <c r="N131" s="7">
        <v>45390</v>
      </c>
      <c r="O131" t="s">
        <v>115</v>
      </c>
      <c r="P131" s="1">
        <v>0.38194444444444442</v>
      </c>
      <c r="Q131" t="s">
        <v>116</v>
      </c>
      <c r="R131">
        <v>100</v>
      </c>
      <c r="T131" t="s">
        <v>117</v>
      </c>
    </row>
    <row r="132" spans="1:20" x14ac:dyDescent="0.3">
      <c r="A132" t="s">
        <v>115</v>
      </c>
      <c r="B132" s="8">
        <v>0.38541666666666669</v>
      </c>
      <c r="C132" t="s">
        <v>116</v>
      </c>
      <c r="D132">
        <v>100</v>
      </c>
      <c r="E132">
        <v>346.7</v>
      </c>
      <c r="F132" t="s">
        <v>117</v>
      </c>
      <c r="N132" s="7">
        <v>45390</v>
      </c>
      <c r="O132" t="s">
        <v>115</v>
      </c>
      <c r="P132" s="1">
        <v>0.38541666666666669</v>
      </c>
      <c r="Q132" t="s">
        <v>116</v>
      </c>
      <c r="R132">
        <v>100</v>
      </c>
      <c r="T132" t="s">
        <v>117</v>
      </c>
    </row>
    <row r="133" spans="1:20" x14ac:dyDescent="0.3">
      <c r="A133" t="s">
        <v>115</v>
      </c>
      <c r="B133" s="8">
        <v>0.3888888888888889</v>
      </c>
      <c r="C133" t="s">
        <v>116</v>
      </c>
      <c r="D133">
        <v>100</v>
      </c>
      <c r="E133">
        <v>330.3</v>
      </c>
      <c r="F133" t="s">
        <v>117</v>
      </c>
      <c r="N133" s="7">
        <v>45390</v>
      </c>
      <c r="O133" t="s">
        <v>115</v>
      </c>
      <c r="P133" s="1">
        <v>0.3888888888888889</v>
      </c>
      <c r="Q133" t="s">
        <v>116</v>
      </c>
      <c r="R133">
        <v>100</v>
      </c>
      <c r="T133" t="s">
        <v>117</v>
      </c>
    </row>
    <row r="134" spans="1:20" x14ac:dyDescent="0.3">
      <c r="A134" t="s">
        <v>115</v>
      </c>
      <c r="B134" s="8">
        <v>0.3923611111111111</v>
      </c>
      <c r="C134" t="s">
        <v>116</v>
      </c>
      <c r="D134">
        <v>100</v>
      </c>
      <c r="E134">
        <v>342</v>
      </c>
      <c r="F134" t="s">
        <v>117</v>
      </c>
      <c r="N134" s="7">
        <v>45390</v>
      </c>
      <c r="O134" t="s">
        <v>115</v>
      </c>
      <c r="P134" s="1">
        <v>0.3923611111111111</v>
      </c>
      <c r="Q134" t="s">
        <v>116</v>
      </c>
      <c r="R134">
        <v>100</v>
      </c>
      <c r="T134" t="s">
        <v>117</v>
      </c>
    </row>
    <row r="135" spans="1:20" x14ac:dyDescent="0.3">
      <c r="A135" t="s">
        <v>115</v>
      </c>
      <c r="B135" s="8">
        <v>0.39583333333333331</v>
      </c>
      <c r="C135" t="s">
        <v>116</v>
      </c>
      <c r="D135">
        <v>100</v>
      </c>
      <c r="E135">
        <v>334.1</v>
      </c>
      <c r="F135" t="s">
        <v>117</v>
      </c>
      <c r="N135" s="7">
        <v>45390</v>
      </c>
      <c r="O135" t="s">
        <v>115</v>
      </c>
      <c r="P135" s="1">
        <v>0.39583333333333331</v>
      </c>
      <c r="Q135" t="s">
        <v>116</v>
      </c>
      <c r="R135">
        <v>100</v>
      </c>
      <c r="T135" t="s">
        <v>117</v>
      </c>
    </row>
    <row r="136" spans="1:20" x14ac:dyDescent="0.3">
      <c r="A136" t="s">
        <v>115</v>
      </c>
      <c r="B136" s="8">
        <v>0.39930555555555558</v>
      </c>
      <c r="C136" t="s">
        <v>116</v>
      </c>
      <c r="D136">
        <v>100</v>
      </c>
      <c r="E136">
        <v>315.2</v>
      </c>
      <c r="F136" t="s">
        <v>117</v>
      </c>
      <c r="N136" s="7">
        <v>45390</v>
      </c>
      <c r="O136" t="s">
        <v>115</v>
      </c>
      <c r="P136" s="1">
        <v>0.39930555555555558</v>
      </c>
      <c r="Q136" t="s">
        <v>116</v>
      </c>
      <c r="R136">
        <v>100</v>
      </c>
      <c r="T136" t="s">
        <v>117</v>
      </c>
    </row>
    <row r="137" spans="1:20" x14ac:dyDescent="0.3">
      <c r="A137" t="s">
        <v>115</v>
      </c>
      <c r="B137" s="8">
        <v>0.40277777777777779</v>
      </c>
      <c r="C137" t="s">
        <v>116</v>
      </c>
      <c r="D137">
        <v>100</v>
      </c>
      <c r="E137">
        <v>344</v>
      </c>
      <c r="F137" t="s">
        <v>117</v>
      </c>
      <c r="N137" s="7">
        <v>45390</v>
      </c>
      <c r="O137" t="s">
        <v>115</v>
      </c>
      <c r="P137" s="1">
        <v>0.40277777777777779</v>
      </c>
      <c r="Q137" t="s">
        <v>116</v>
      </c>
      <c r="R137">
        <v>100</v>
      </c>
      <c r="T137" t="s">
        <v>117</v>
      </c>
    </row>
    <row r="138" spans="1:20" x14ac:dyDescent="0.3">
      <c r="A138" t="s">
        <v>115</v>
      </c>
      <c r="B138" s="8">
        <v>0.40625</v>
      </c>
      <c r="C138" t="s">
        <v>116</v>
      </c>
      <c r="D138">
        <v>100</v>
      </c>
      <c r="E138">
        <v>330.5</v>
      </c>
      <c r="F138" t="s">
        <v>117</v>
      </c>
      <c r="N138" s="7">
        <v>45390</v>
      </c>
      <c r="O138" t="s">
        <v>115</v>
      </c>
      <c r="P138" s="1">
        <v>0.40625</v>
      </c>
      <c r="Q138" t="s">
        <v>116</v>
      </c>
      <c r="R138">
        <v>100</v>
      </c>
      <c r="T138" t="s">
        <v>117</v>
      </c>
    </row>
    <row r="139" spans="1:20" x14ac:dyDescent="0.3">
      <c r="A139" t="s">
        <v>115</v>
      </c>
      <c r="B139" s="8">
        <v>0.40972222222222221</v>
      </c>
      <c r="C139" t="s">
        <v>116</v>
      </c>
      <c r="D139">
        <v>100</v>
      </c>
      <c r="E139">
        <v>335.7</v>
      </c>
      <c r="F139" t="s">
        <v>117</v>
      </c>
      <c r="N139" s="7">
        <v>45390</v>
      </c>
      <c r="O139" t="s">
        <v>115</v>
      </c>
      <c r="P139" s="1">
        <v>0.40972222222222221</v>
      </c>
      <c r="Q139" t="s">
        <v>116</v>
      </c>
      <c r="R139">
        <v>100</v>
      </c>
      <c r="T139" t="s">
        <v>117</v>
      </c>
    </row>
    <row r="140" spans="1:20" x14ac:dyDescent="0.3">
      <c r="A140" t="s">
        <v>115</v>
      </c>
      <c r="B140" s="8">
        <v>0.41319444444444442</v>
      </c>
      <c r="C140" t="s">
        <v>116</v>
      </c>
      <c r="D140">
        <v>100</v>
      </c>
      <c r="E140">
        <v>334</v>
      </c>
      <c r="F140" t="s">
        <v>117</v>
      </c>
      <c r="N140" s="7">
        <v>45390</v>
      </c>
      <c r="O140" t="s">
        <v>115</v>
      </c>
      <c r="P140" s="1">
        <v>0.41319444444444442</v>
      </c>
      <c r="Q140" t="s">
        <v>116</v>
      </c>
      <c r="R140">
        <v>100</v>
      </c>
      <c r="T140" t="s">
        <v>117</v>
      </c>
    </row>
    <row r="141" spans="1:20" x14ac:dyDescent="0.3">
      <c r="A141" t="s">
        <v>115</v>
      </c>
      <c r="B141" s="8">
        <v>0.41666666666666669</v>
      </c>
      <c r="C141" t="s">
        <v>116</v>
      </c>
      <c r="D141">
        <v>100</v>
      </c>
      <c r="E141">
        <v>329.3</v>
      </c>
      <c r="F141" t="s">
        <v>117</v>
      </c>
      <c r="N141" s="7">
        <v>45390</v>
      </c>
      <c r="O141" t="s">
        <v>115</v>
      </c>
      <c r="P141" s="1">
        <v>0.41666666666666669</v>
      </c>
      <c r="Q141" t="s">
        <v>116</v>
      </c>
      <c r="R141">
        <v>100</v>
      </c>
      <c r="T141" t="s">
        <v>117</v>
      </c>
    </row>
    <row r="142" spans="1:20" x14ac:dyDescent="0.3">
      <c r="A142" t="s">
        <v>115</v>
      </c>
      <c r="B142" s="8">
        <v>0.4201388888888889</v>
      </c>
      <c r="C142" t="s">
        <v>116</v>
      </c>
      <c r="D142">
        <v>100</v>
      </c>
      <c r="E142">
        <v>307</v>
      </c>
      <c r="F142" t="s">
        <v>117</v>
      </c>
      <c r="N142" s="7">
        <v>45390</v>
      </c>
      <c r="O142" t="s">
        <v>115</v>
      </c>
      <c r="P142" s="1">
        <v>0.4201388888888889</v>
      </c>
      <c r="Q142" t="s">
        <v>116</v>
      </c>
      <c r="R142">
        <v>100</v>
      </c>
      <c r="T142" t="s">
        <v>117</v>
      </c>
    </row>
    <row r="143" spans="1:20" x14ac:dyDescent="0.3">
      <c r="A143" t="s">
        <v>115</v>
      </c>
      <c r="B143" s="8">
        <v>0.4236111111111111</v>
      </c>
      <c r="C143" t="s">
        <v>116</v>
      </c>
      <c r="D143">
        <v>100</v>
      </c>
      <c r="E143">
        <v>324.5</v>
      </c>
      <c r="F143" t="s">
        <v>117</v>
      </c>
      <c r="N143" s="7">
        <v>45390</v>
      </c>
      <c r="O143" t="s">
        <v>115</v>
      </c>
      <c r="P143" s="1">
        <v>0.4236111111111111</v>
      </c>
      <c r="Q143" t="s">
        <v>116</v>
      </c>
      <c r="R143">
        <v>100</v>
      </c>
      <c r="T143" t="s">
        <v>117</v>
      </c>
    </row>
    <row r="144" spans="1:20" x14ac:dyDescent="0.3">
      <c r="A144" t="s">
        <v>115</v>
      </c>
      <c r="B144" s="8">
        <v>0.42708333333333331</v>
      </c>
      <c r="C144" t="s">
        <v>116</v>
      </c>
      <c r="D144">
        <v>100</v>
      </c>
      <c r="E144">
        <v>329.7</v>
      </c>
      <c r="F144" t="s">
        <v>117</v>
      </c>
      <c r="N144" s="7">
        <v>45390</v>
      </c>
      <c r="O144" t="s">
        <v>115</v>
      </c>
      <c r="P144" s="1">
        <v>0.42708333333333331</v>
      </c>
      <c r="Q144" t="s">
        <v>116</v>
      </c>
      <c r="R144">
        <v>100</v>
      </c>
      <c r="T144" t="s">
        <v>117</v>
      </c>
    </row>
    <row r="145" spans="1:20" x14ac:dyDescent="0.3">
      <c r="A145" t="s">
        <v>115</v>
      </c>
      <c r="B145" s="8">
        <v>0.43055555555555558</v>
      </c>
      <c r="C145" t="s">
        <v>116</v>
      </c>
      <c r="D145">
        <v>100</v>
      </c>
      <c r="E145">
        <v>324.10000000000002</v>
      </c>
      <c r="F145" t="s">
        <v>117</v>
      </c>
      <c r="N145" s="7">
        <v>45390</v>
      </c>
      <c r="O145" t="s">
        <v>115</v>
      </c>
      <c r="P145" s="1">
        <v>0.43055555555555558</v>
      </c>
      <c r="Q145" t="s">
        <v>116</v>
      </c>
      <c r="R145">
        <v>100</v>
      </c>
      <c r="T145" t="s">
        <v>117</v>
      </c>
    </row>
    <row r="146" spans="1:20" x14ac:dyDescent="0.3">
      <c r="A146" t="s">
        <v>115</v>
      </c>
      <c r="B146" s="8">
        <v>0.43402777777777779</v>
      </c>
      <c r="C146" t="s">
        <v>116</v>
      </c>
      <c r="D146">
        <v>100</v>
      </c>
      <c r="E146">
        <v>329.9</v>
      </c>
      <c r="F146" t="s">
        <v>117</v>
      </c>
      <c r="N146" s="7">
        <v>45390</v>
      </c>
      <c r="O146" t="s">
        <v>115</v>
      </c>
      <c r="P146" s="1">
        <v>0.43402777777777779</v>
      </c>
      <c r="Q146" t="s">
        <v>116</v>
      </c>
      <c r="R146">
        <v>100</v>
      </c>
      <c r="T146" t="s">
        <v>117</v>
      </c>
    </row>
    <row r="147" spans="1:20" x14ac:dyDescent="0.3">
      <c r="A147" t="s">
        <v>115</v>
      </c>
      <c r="B147" s="8">
        <v>0.4375</v>
      </c>
      <c r="C147" t="s">
        <v>116</v>
      </c>
      <c r="D147">
        <v>100</v>
      </c>
      <c r="E147">
        <v>343.1</v>
      </c>
      <c r="F147" t="s">
        <v>117</v>
      </c>
      <c r="N147" s="7">
        <v>45390</v>
      </c>
      <c r="O147" t="s">
        <v>115</v>
      </c>
      <c r="P147" s="1">
        <v>0.4375</v>
      </c>
      <c r="Q147" t="s">
        <v>116</v>
      </c>
      <c r="R147">
        <v>100</v>
      </c>
      <c r="T147" t="s">
        <v>117</v>
      </c>
    </row>
    <row r="148" spans="1:20" x14ac:dyDescent="0.3">
      <c r="A148" t="s">
        <v>115</v>
      </c>
      <c r="B148" s="8">
        <v>0.44097222222222221</v>
      </c>
      <c r="C148" t="s">
        <v>116</v>
      </c>
      <c r="D148">
        <v>100</v>
      </c>
      <c r="E148">
        <v>338.8</v>
      </c>
      <c r="F148" t="s">
        <v>117</v>
      </c>
      <c r="N148" s="7">
        <v>45390</v>
      </c>
      <c r="O148" t="s">
        <v>115</v>
      </c>
      <c r="P148" s="1">
        <v>0.44097222222222221</v>
      </c>
      <c r="Q148" t="s">
        <v>116</v>
      </c>
      <c r="R148">
        <v>100</v>
      </c>
      <c r="T148" t="s">
        <v>117</v>
      </c>
    </row>
    <row r="149" spans="1:20" x14ac:dyDescent="0.3">
      <c r="A149" t="s">
        <v>115</v>
      </c>
      <c r="B149" s="8">
        <v>0.44444444444444442</v>
      </c>
      <c r="C149" t="s">
        <v>116</v>
      </c>
      <c r="D149">
        <v>100</v>
      </c>
      <c r="E149">
        <v>324.7</v>
      </c>
      <c r="F149" t="s">
        <v>117</v>
      </c>
      <c r="N149" s="7">
        <v>45390</v>
      </c>
      <c r="O149" t="s">
        <v>115</v>
      </c>
      <c r="P149" s="1">
        <v>0.44444444444444442</v>
      </c>
      <c r="Q149" t="s">
        <v>116</v>
      </c>
      <c r="R149">
        <v>100</v>
      </c>
      <c r="T149" t="s">
        <v>117</v>
      </c>
    </row>
    <row r="150" spans="1:20" x14ac:dyDescent="0.3">
      <c r="A150" t="s">
        <v>115</v>
      </c>
      <c r="B150" s="8">
        <v>0.44791666666666669</v>
      </c>
      <c r="C150" t="s">
        <v>116</v>
      </c>
      <c r="D150">
        <v>100</v>
      </c>
      <c r="E150">
        <v>339.1</v>
      </c>
      <c r="F150" t="s">
        <v>117</v>
      </c>
      <c r="N150" s="7">
        <v>45390</v>
      </c>
      <c r="O150" t="s">
        <v>115</v>
      </c>
      <c r="P150" s="1">
        <v>0.44791666666666669</v>
      </c>
      <c r="Q150" t="s">
        <v>116</v>
      </c>
      <c r="R150">
        <v>100</v>
      </c>
      <c r="T150" t="s">
        <v>117</v>
      </c>
    </row>
    <row r="151" spans="1:20" x14ac:dyDescent="0.3">
      <c r="A151" t="s">
        <v>115</v>
      </c>
      <c r="B151" s="8">
        <v>0.4513888888888889</v>
      </c>
      <c r="C151" t="s">
        <v>116</v>
      </c>
      <c r="D151">
        <v>100</v>
      </c>
      <c r="E151">
        <v>327.3</v>
      </c>
      <c r="F151" t="s">
        <v>117</v>
      </c>
      <c r="N151" s="7">
        <v>45390</v>
      </c>
      <c r="O151" t="s">
        <v>115</v>
      </c>
      <c r="P151" s="1">
        <v>0.4513888888888889</v>
      </c>
      <c r="Q151" t="s">
        <v>116</v>
      </c>
      <c r="R151">
        <v>100</v>
      </c>
      <c r="T151" t="s">
        <v>117</v>
      </c>
    </row>
    <row r="152" spans="1:20" x14ac:dyDescent="0.3">
      <c r="A152" t="s">
        <v>115</v>
      </c>
      <c r="B152" s="8">
        <v>0.4548611111111111</v>
      </c>
      <c r="C152" t="s">
        <v>116</v>
      </c>
      <c r="D152">
        <v>100</v>
      </c>
      <c r="E152">
        <v>327.2</v>
      </c>
      <c r="F152" t="s">
        <v>117</v>
      </c>
      <c r="N152" s="7">
        <v>45390</v>
      </c>
      <c r="O152" t="s">
        <v>115</v>
      </c>
      <c r="P152" s="1">
        <v>0.4548611111111111</v>
      </c>
      <c r="Q152" t="s">
        <v>116</v>
      </c>
      <c r="R152">
        <v>100</v>
      </c>
      <c r="T152" t="s">
        <v>117</v>
      </c>
    </row>
    <row r="153" spans="1:20" x14ac:dyDescent="0.3">
      <c r="A153" t="s">
        <v>115</v>
      </c>
      <c r="B153" s="8">
        <v>0.45833333333333331</v>
      </c>
      <c r="C153" t="s">
        <v>116</v>
      </c>
      <c r="D153">
        <v>100</v>
      </c>
      <c r="E153">
        <v>333.7</v>
      </c>
      <c r="F153" t="s">
        <v>117</v>
      </c>
      <c r="N153" s="7">
        <v>45390</v>
      </c>
      <c r="O153" t="s">
        <v>115</v>
      </c>
      <c r="P153" s="1">
        <v>0.45833333333333331</v>
      </c>
      <c r="Q153" t="s">
        <v>116</v>
      </c>
      <c r="R153">
        <v>100</v>
      </c>
      <c r="T153" t="s">
        <v>117</v>
      </c>
    </row>
    <row r="154" spans="1:20" x14ac:dyDescent="0.3">
      <c r="A154" t="s">
        <v>115</v>
      </c>
      <c r="B154" s="8">
        <v>0.46180555555555558</v>
      </c>
      <c r="C154" t="s">
        <v>116</v>
      </c>
      <c r="D154">
        <v>100</v>
      </c>
      <c r="E154">
        <v>328.1</v>
      </c>
      <c r="F154" t="s">
        <v>117</v>
      </c>
      <c r="N154" s="7">
        <v>45390</v>
      </c>
      <c r="O154" t="s">
        <v>115</v>
      </c>
      <c r="P154" s="1">
        <v>0.46180555555555558</v>
      </c>
      <c r="Q154" t="s">
        <v>116</v>
      </c>
      <c r="R154">
        <v>100</v>
      </c>
      <c r="T154" t="s">
        <v>117</v>
      </c>
    </row>
    <row r="155" spans="1:20" x14ac:dyDescent="0.3">
      <c r="A155" t="s">
        <v>115</v>
      </c>
      <c r="B155" s="8">
        <v>0.46527777777777779</v>
      </c>
      <c r="C155" t="s">
        <v>116</v>
      </c>
      <c r="D155">
        <v>100</v>
      </c>
      <c r="E155">
        <v>331.5</v>
      </c>
      <c r="F155" t="s">
        <v>117</v>
      </c>
      <c r="N155" s="7">
        <v>45390</v>
      </c>
      <c r="O155" t="s">
        <v>115</v>
      </c>
      <c r="P155" s="1">
        <v>0.46527777777777779</v>
      </c>
      <c r="Q155" t="s">
        <v>116</v>
      </c>
      <c r="R155">
        <v>100</v>
      </c>
      <c r="T155" t="s">
        <v>117</v>
      </c>
    </row>
    <row r="156" spans="1:20" x14ac:dyDescent="0.3">
      <c r="A156" t="s">
        <v>115</v>
      </c>
      <c r="B156" s="8">
        <v>0.46875</v>
      </c>
      <c r="C156" t="s">
        <v>116</v>
      </c>
      <c r="D156">
        <v>100</v>
      </c>
      <c r="E156">
        <v>320.3</v>
      </c>
      <c r="F156" t="s">
        <v>117</v>
      </c>
      <c r="N156" s="7">
        <v>45390</v>
      </c>
      <c r="O156" t="s">
        <v>115</v>
      </c>
      <c r="P156" s="1">
        <v>0.46875</v>
      </c>
      <c r="Q156" t="s">
        <v>116</v>
      </c>
      <c r="R156">
        <v>100</v>
      </c>
      <c r="T156" t="s">
        <v>117</v>
      </c>
    </row>
    <row r="157" spans="1:20" x14ac:dyDescent="0.3">
      <c r="A157" t="s">
        <v>115</v>
      </c>
      <c r="B157" s="8">
        <v>0.47222222222222221</v>
      </c>
      <c r="C157" t="s">
        <v>116</v>
      </c>
      <c r="D157">
        <v>100</v>
      </c>
      <c r="E157">
        <v>319.3</v>
      </c>
      <c r="F157" t="s">
        <v>117</v>
      </c>
      <c r="N157" s="7">
        <v>45390</v>
      </c>
      <c r="O157" t="s">
        <v>115</v>
      </c>
      <c r="P157" s="1">
        <v>0.47222222222222221</v>
      </c>
      <c r="Q157" t="s">
        <v>116</v>
      </c>
      <c r="R157">
        <v>100</v>
      </c>
      <c r="T157" t="s">
        <v>117</v>
      </c>
    </row>
    <row r="158" spans="1:20" x14ac:dyDescent="0.3">
      <c r="A158" t="s">
        <v>115</v>
      </c>
      <c r="B158" s="8">
        <v>0.47569444444444442</v>
      </c>
      <c r="C158" t="s">
        <v>116</v>
      </c>
      <c r="D158">
        <v>100</v>
      </c>
      <c r="E158">
        <v>306.2</v>
      </c>
      <c r="F158" t="s">
        <v>117</v>
      </c>
      <c r="N158" s="7">
        <v>45390</v>
      </c>
      <c r="O158" t="s">
        <v>115</v>
      </c>
      <c r="P158" s="1">
        <v>0.47569444444444442</v>
      </c>
      <c r="Q158" t="s">
        <v>116</v>
      </c>
      <c r="R158">
        <v>100</v>
      </c>
      <c r="T158" t="s">
        <v>117</v>
      </c>
    </row>
    <row r="159" spans="1:20" x14ac:dyDescent="0.3">
      <c r="A159" t="s">
        <v>115</v>
      </c>
      <c r="B159" s="8">
        <v>0.47916666666666669</v>
      </c>
      <c r="C159" t="s">
        <v>116</v>
      </c>
      <c r="D159">
        <v>100</v>
      </c>
      <c r="E159">
        <v>324.7</v>
      </c>
      <c r="F159" t="s">
        <v>117</v>
      </c>
      <c r="N159" s="7">
        <v>45390</v>
      </c>
      <c r="O159" t="s">
        <v>115</v>
      </c>
      <c r="P159" s="1">
        <v>0.47916666666666669</v>
      </c>
      <c r="Q159" t="s">
        <v>116</v>
      </c>
      <c r="R159">
        <v>100</v>
      </c>
      <c r="T159" t="s">
        <v>117</v>
      </c>
    </row>
    <row r="160" spans="1:20" x14ac:dyDescent="0.3">
      <c r="A160" t="s">
        <v>115</v>
      </c>
      <c r="B160" s="8">
        <v>0.4826388888888889</v>
      </c>
      <c r="C160" t="s">
        <v>116</v>
      </c>
      <c r="D160">
        <v>100</v>
      </c>
      <c r="E160">
        <v>321.89999999999998</v>
      </c>
      <c r="F160" t="s">
        <v>117</v>
      </c>
      <c r="N160" s="7">
        <v>45390</v>
      </c>
      <c r="O160" t="s">
        <v>115</v>
      </c>
      <c r="P160" s="1">
        <v>0.4826388888888889</v>
      </c>
      <c r="Q160" t="s">
        <v>116</v>
      </c>
      <c r="R160">
        <v>100</v>
      </c>
      <c r="T160" t="s">
        <v>117</v>
      </c>
    </row>
    <row r="161" spans="1:20" x14ac:dyDescent="0.3">
      <c r="A161" t="s">
        <v>115</v>
      </c>
      <c r="B161" s="8">
        <v>0.4861111111111111</v>
      </c>
      <c r="C161" t="s">
        <v>116</v>
      </c>
      <c r="D161">
        <v>70</v>
      </c>
      <c r="E161">
        <v>308.5</v>
      </c>
      <c r="F161" t="s">
        <v>117</v>
      </c>
      <c r="N161" s="7">
        <v>45390</v>
      </c>
      <c r="O161" t="s">
        <v>115</v>
      </c>
      <c r="P161" s="1">
        <v>0.4861111111111111</v>
      </c>
      <c r="Q161" t="s">
        <v>116</v>
      </c>
      <c r="R161">
        <v>70</v>
      </c>
      <c r="T161" t="s">
        <v>117</v>
      </c>
    </row>
    <row r="162" spans="1:20" x14ac:dyDescent="0.3">
      <c r="A162" t="s">
        <v>115</v>
      </c>
      <c r="B162" s="8">
        <v>0.48958333333333331</v>
      </c>
      <c r="C162" t="s">
        <v>116</v>
      </c>
      <c r="D162">
        <v>70</v>
      </c>
      <c r="E162">
        <v>294.8</v>
      </c>
      <c r="F162" t="s">
        <v>117</v>
      </c>
      <c r="N162" s="7">
        <v>45390</v>
      </c>
      <c r="O162" t="s">
        <v>115</v>
      </c>
      <c r="P162" s="1">
        <v>0.48958333333333331</v>
      </c>
      <c r="Q162" t="s">
        <v>116</v>
      </c>
      <c r="R162">
        <v>70</v>
      </c>
      <c r="T162" t="s">
        <v>117</v>
      </c>
    </row>
    <row r="163" spans="1:20" x14ac:dyDescent="0.3">
      <c r="A163" t="s">
        <v>115</v>
      </c>
      <c r="B163" s="8">
        <v>0.49305555555555558</v>
      </c>
      <c r="C163" t="s">
        <v>116</v>
      </c>
      <c r="D163">
        <v>100</v>
      </c>
      <c r="E163">
        <v>288</v>
      </c>
      <c r="F163" t="s">
        <v>117</v>
      </c>
      <c r="N163" s="7">
        <v>45390</v>
      </c>
      <c r="O163" t="s">
        <v>115</v>
      </c>
      <c r="P163" s="1">
        <v>0.49305555555555558</v>
      </c>
      <c r="Q163" t="s">
        <v>116</v>
      </c>
      <c r="R163">
        <v>100</v>
      </c>
      <c r="T163" t="s">
        <v>117</v>
      </c>
    </row>
    <row r="164" spans="1:20" x14ac:dyDescent="0.3">
      <c r="A164" t="s">
        <v>115</v>
      </c>
      <c r="B164" s="8">
        <v>0.49652777777777779</v>
      </c>
      <c r="C164" t="s">
        <v>116</v>
      </c>
      <c r="D164">
        <v>100</v>
      </c>
      <c r="E164">
        <v>274.5</v>
      </c>
      <c r="F164" t="s">
        <v>117</v>
      </c>
      <c r="N164" s="7">
        <v>45390</v>
      </c>
      <c r="O164" t="s">
        <v>115</v>
      </c>
      <c r="P164" s="1">
        <v>0.49652777777777779</v>
      </c>
      <c r="Q164" t="s">
        <v>116</v>
      </c>
      <c r="R164">
        <v>100</v>
      </c>
      <c r="T164" t="s">
        <v>117</v>
      </c>
    </row>
    <row r="165" spans="1:20" x14ac:dyDescent="0.3">
      <c r="A165" t="s">
        <v>115</v>
      </c>
      <c r="B165" s="8">
        <v>0.5</v>
      </c>
      <c r="C165" t="s">
        <v>116</v>
      </c>
      <c r="D165">
        <v>100</v>
      </c>
      <c r="E165">
        <v>301.3</v>
      </c>
      <c r="F165" t="s">
        <v>117</v>
      </c>
      <c r="N165" s="7">
        <v>45390</v>
      </c>
      <c r="O165" t="s">
        <v>115</v>
      </c>
      <c r="P165" s="1">
        <v>0.5</v>
      </c>
      <c r="Q165" t="s">
        <v>116</v>
      </c>
      <c r="R165">
        <v>100</v>
      </c>
      <c r="T165" t="s">
        <v>117</v>
      </c>
    </row>
    <row r="166" spans="1:20" x14ac:dyDescent="0.3">
      <c r="A166" t="s">
        <v>115</v>
      </c>
      <c r="B166" s="8">
        <v>0.50347222222222221</v>
      </c>
      <c r="C166" t="s">
        <v>116</v>
      </c>
      <c r="D166">
        <v>100</v>
      </c>
      <c r="E166">
        <v>274.89999999999998</v>
      </c>
      <c r="F166" t="s">
        <v>117</v>
      </c>
      <c r="N166" s="7">
        <v>45390</v>
      </c>
      <c r="O166" t="s">
        <v>115</v>
      </c>
      <c r="P166" s="1">
        <v>0.50347222222222221</v>
      </c>
      <c r="Q166" t="s">
        <v>116</v>
      </c>
      <c r="R166">
        <v>100</v>
      </c>
      <c r="T166" t="s">
        <v>117</v>
      </c>
    </row>
    <row r="167" spans="1:20" x14ac:dyDescent="0.3">
      <c r="A167" t="s">
        <v>115</v>
      </c>
      <c r="B167" s="8">
        <v>0.50694444444444442</v>
      </c>
      <c r="C167" t="s">
        <v>116</v>
      </c>
      <c r="D167">
        <v>100</v>
      </c>
      <c r="E167">
        <v>285.5</v>
      </c>
      <c r="F167" t="s">
        <v>117</v>
      </c>
      <c r="N167" s="7">
        <v>45390</v>
      </c>
      <c r="O167" t="s">
        <v>115</v>
      </c>
      <c r="P167" s="1">
        <v>0.50694444444444442</v>
      </c>
      <c r="Q167" t="s">
        <v>116</v>
      </c>
      <c r="R167">
        <v>100</v>
      </c>
      <c r="T167" t="s">
        <v>117</v>
      </c>
    </row>
    <row r="168" spans="1:20" x14ac:dyDescent="0.3">
      <c r="A168" t="s">
        <v>115</v>
      </c>
      <c r="B168" s="8">
        <v>0.51041666666666663</v>
      </c>
      <c r="C168" t="s">
        <v>116</v>
      </c>
      <c r="D168">
        <v>100</v>
      </c>
      <c r="E168">
        <v>258.39999999999998</v>
      </c>
      <c r="F168" t="s">
        <v>117</v>
      </c>
      <c r="N168" s="7">
        <v>45390</v>
      </c>
      <c r="O168" t="s">
        <v>115</v>
      </c>
      <c r="P168" s="1">
        <v>0.51041666666666663</v>
      </c>
      <c r="Q168" t="s">
        <v>116</v>
      </c>
      <c r="R168">
        <v>100</v>
      </c>
      <c r="S168">
        <v>110</v>
      </c>
      <c r="T168" t="s">
        <v>117</v>
      </c>
    </row>
    <row r="169" spans="1:20" x14ac:dyDescent="0.3">
      <c r="A169" t="s">
        <v>115</v>
      </c>
      <c r="B169" s="8">
        <v>0.51388888888888884</v>
      </c>
      <c r="C169" t="s">
        <v>116</v>
      </c>
      <c r="D169">
        <v>100</v>
      </c>
      <c r="E169">
        <v>268.8</v>
      </c>
      <c r="F169" t="s">
        <v>117</v>
      </c>
      <c r="N169" s="7">
        <v>45390</v>
      </c>
      <c r="O169" t="s">
        <v>115</v>
      </c>
      <c r="P169" s="1">
        <v>0.51388888888888884</v>
      </c>
      <c r="Q169" t="s">
        <v>116</v>
      </c>
      <c r="R169">
        <v>100</v>
      </c>
      <c r="S169">
        <v>118.7</v>
      </c>
      <c r="T169" t="s">
        <v>117</v>
      </c>
    </row>
    <row r="170" spans="1:20" x14ac:dyDescent="0.3">
      <c r="A170" t="s">
        <v>115</v>
      </c>
      <c r="B170" s="8">
        <v>0.51736111111111116</v>
      </c>
      <c r="C170" t="s">
        <v>116</v>
      </c>
      <c r="D170">
        <v>100</v>
      </c>
      <c r="E170">
        <v>265.60000000000002</v>
      </c>
      <c r="F170" t="s">
        <v>117</v>
      </c>
      <c r="N170" s="7">
        <v>45390</v>
      </c>
      <c r="O170" t="s">
        <v>115</v>
      </c>
      <c r="P170" s="1">
        <v>0.51736111111111116</v>
      </c>
      <c r="Q170" t="s">
        <v>116</v>
      </c>
      <c r="R170">
        <v>100</v>
      </c>
      <c r="S170">
        <v>112.4</v>
      </c>
      <c r="T170" t="s">
        <v>117</v>
      </c>
    </row>
    <row r="171" spans="1:20" x14ac:dyDescent="0.3">
      <c r="A171" t="s">
        <v>115</v>
      </c>
      <c r="B171" s="8">
        <v>0.52083333333333337</v>
      </c>
      <c r="C171" t="s">
        <v>116</v>
      </c>
      <c r="D171">
        <v>100</v>
      </c>
      <c r="E171">
        <v>270.5</v>
      </c>
      <c r="F171" t="s">
        <v>117</v>
      </c>
      <c r="N171" s="7">
        <v>45390</v>
      </c>
      <c r="O171" t="s">
        <v>115</v>
      </c>
      <c r="P171" s="1">
        <v>0.52083333333333337</v>
      </c>
      <c r="Q171" t="s">
        <v>116</v>
      </c>
      <c r="R171">
        <v>100</v>
      </c>
      <c r="S171">
        <v>110</v>
      </c>
      <c r="T171" t="s">
        <v>117</v>
      </c>
    </row>
    <row r="172" spans="1:20" x14ac:dyDescent="0.3">
      <c r="A172" t="s">
        <v>115</v>
      </c>
      <c r="B172" s="8">
        <v>0.52430555555555558</v>
      </c>
      <c r="C172" t="s">
        <v>116</v>
      </c>
      <c r="D172">
        <v>100</v>
      </c>
      <c r="E172">
        <v>251</v>
      </c>
      <c r="F172" t="s">
        <v>117</v>
      </c>
      <c r="N172" s="7">
        <v>45390</v>
      </c>
      <c r="O172" t="s">
        <v>115</v>
      </c>
      <c r="P172" s="1">
        <v>0.52430555555555558</v>
      </c>
      <c r="Q172" t="s">
        <v>116</v>
      </c>
      <c r="R172">
        <v>100</v>
      </c>
      <c r="S172">
        <v>103.7</v>
      </c>
      <c r="T172" t="s">
        <v>117</v>
      </c>
    </row>
    <row r="173" spans="1:20" x14ac:dyDescent="0.3">
      <c r="A173" t="s">
        <v>115</v>
      </c>
      <c r="B173" s="8">
        <v>0.52777777777777779</v>
      </c>
      <c r="C173" t="s">
        <v>116</v>
      </c>
      <c r="D173">
        <v>100</v>
      </c>
      <c r="E173">
        <v>253.7</v>
      </c>
      <c r="F173" t="s">
        <v>117</v>
      </c>
      <c r="N173" s="7">
        <v>45390</v>
      </c>
      <c r="O173" t="s">
        <v>115</v>
      </c>
      <c r="P173" s="1">
        <v>0.52777777777777779</v>
      </c>
      <c r="Q173" t="s">
        <v>116</v>
      </c>
      <c r="R173">
        <v>100</v>
      </c>
      <c r="S173">
        <v>110</v>
      </c>
      <c r="T173" t="s">
        <v>117</v>
      </c>
    </row>
    <row r="174" spans="1:20" x14ac:dyDescent="0.3">
      <c r="A174" t="s">
        <v>115</v>
      </c>
      <c r="B174" s="8">
        <v>0.53125</v>
      </c>
      <c r="C174" t="s">
        <v>116</v>
      </c>
      <c r="D174">
        <v>100</v>
      </c>
      <c r="E174">
        <v>245.5</v>
      </c>
      <c r="F174" t="s">
        <v>117</v>
      </c>
      <c r="N174" s="7">
        <v>45390</v>
      </c>
      <c r="O174" t="s">
        <v>115</v>
      </c>
      <c r="P174" s="1">
        <v>0.53125</v>
      </c>
      <c r="Q174" t="s">
        <v>116</v>
      </c>
      <c r="R174">
        <v>100</v>
      </c>
      <c r="S174">
        <v>110</v>
      </c>
      <c r="T174" t="s">
        <v>117</v>
      </c>
    </row>
    <row r="175" spans="1:20" x14ac:dyDescent="0.3">
      <c r="A175" t="s">
        <v>115</v>
      </c>
      <c r="B175" s="8">
        <v>0.53472222222222221</v>
      </c>
      <c r="C175" t="s">
        <v>116</v>
      </c>
      <c r="D175">
        <v>100</v>
      </c>
      <c r="E175">
        <v>259.5</v>
      </c>
      <c r="F175" t="s">
        <v>117</v>
      </c>
      <c r="N175" s="7">
        <v>45390</v>
      </c>
      <c r="O175" t="s">
        <v>115</v>
      </c>
      <c r="P175" s="1">
        <v>0.53472222222222221</v>
      </c>
      <c r="Q175" t="s">
        <v>116</v>
      </c>
      <c r="R175">
        <v>100</v>
      </c>
      <c r="S175">
        <v>118.5</v>
      </c>
      <c r="T175" t="s">
        <v>117</v>
      </c>
    </row>
    <row r="176" spans="1:20" x14ac:dyDescent="0.3">
      <c r="A176" t="s">
        <v>115</v>
      </c>
      <c r="B176" s="8">
        <v>0.53819444444444442</v>
      </c>
      <c r="C176" t="s">
        <v>116</v>
      </c>
      <c r="D176">
        <v>70</v>
      </c>
      <c r="E176">
        <v>215.9</v>
      </c>
      <c r="F176" t="s">
        <v>117</v>
      </c>
      <c r="N176" s="7">
        <v>45390</v>
      </c>
      <c r="O176" t="s">
        <v>115</v>
      </c>
      <c r="P176" s="1">
        <v>0.53819444444444442</v>
      </c>
      <c r="Q176" t="s">
        <v>116</v>
      </c>
      <c r="R176">
        <v>70</v>
      </c>
      <c r="S176">
        <v>94.8</v>
      </c>
      <c r="T176" t="s">
        <v>117</v>
      </c>
    </row>
    <row r="177" spans="1:20" x14ac:dyDescent="0.3">
      <c r="A177" t="s">
        <v>115</v>
      </c>
      <c r="B177" s="8">
        <v>0.54166666666666663</v>
      </c>
      <c r="C177" t="s">
        <v>116</v>
      </c>
      <c r="D177">
        <v>100</v>
      </c>
      <c r="E177">
        <v>240.6</v>
      </c>
      <c r="F177" t="s">
        <v>117</v>
      </c>
      <c r="N177" s="7">
        <v>45390</v>
      </c>
      <c r="O177" t="s">
        <v>115</v>
      </c>
      <c r="P177" s="1">
        <v>0.54166666666666663</v>
      </c>
      <c r="Q177" t="s">
        <v>116</v>
      </c>
      <c r="R177">
        <v>100</v>
      </c>
      <c r="S177">
        <v>110</v>
      </c>
      <c r="T177" t="s">
        <v>117</v>
      </c>
    </row>
    <row r="178" spans="1:20" x14ac:dyDescent="0.3">
      <c r="A178" t="s">
        <v>115</v>
      </c>
      <c r="B178" s="8">
        <v>0.54513888888888884</v>
      </c>
      <c r="C178" t="s">
        <v>116</v>
      </c>
      <c r="D178">
        <v>100</v>
      </c>
      <c r="E178">
        <v>257.7</v>
      </c>
      <c r="F178" t="s">
        <v>117</v>
      </c>
      <c r="N178" s="7">
        <v>45390</v>
      </c>
      <c r="O178" t="s">
        <v>115</v>
      </c>
      <c r="P178" s="1">
        <v>0.54513888888888884</v>
      </c>
      <c r="Q178" t="s">
        <v>116</v>
      </c>
      <c r="R178">
        <v>100</v>
      </c>
      <c r="S178">
        <v>98.1</v>
      </c>
      <c r="T178" t="s">
        <v>117</v>
      </c>
    </row>
    <row r="179" spans="1:20" x14ac:dyDescent="0.3">
      <c r="A179" t="s">
        <v>115</v>
      </c>
      <c r="B179" s="8">
        <v>0.54861111111111116</v>
      </c>
      <c r="C179" t="s">
        <v>116</v>
      </c>
      <c r="D179">
        <v>50</v>
      </c>
      <c r="E179">
        <v>244.4</v>
      </c>
      <c r="F179" t="s">
        <v>117</v>
      </c>
      <c r="N179" s="7">
        <v>45390</v>
      </c>
      <c r="O179" t="s">
        <v>115</v>
      </c>
      <c r="P179" s="1">
        <v>0.54861111111111116</v>
      </c>
      <c r="Q179" t="s">
        <v>116</v>
      </c>
      <c r="R179">
        <v>50</v>
      </c>
      <c r="S179">
        <v>104.4</v>
      </c>
      <c r="T179" t="s">
        <v>117</v>
      </c>
    </row>
    <row r="180" spans="1:20" x14ac:dyDescent="0.3">
      <c r="A180" t="s">
        <v>115</v>
      </c>
      <c r="B180" s="8">
        <v>0.55208333333333337</v>
      </c>
      <c r="C180" t="s">
        <v>116</v>
      </c>
      <c r="D180">
        <v>100</v>
      </c>
      <c r="E180">
        <v>253.7</v>
      </c>
      <c r="F180" t="s">
        <v>117</v>
      </c>
      <c r="N180" s="7">
        <v>45390</v>
      </c>
      <c r="O180" t="s">
        <v>115</v>
      </c>
      <c r="P180" s="1">
        <v>0.55208333333333337</v>
      </c>
      <c r="Q180" t="s">
        <v>116</v>
      </c>
      <c r="R180">
        <v>100</v>
      </c>
      <c r="S180">
        <v>110</v>
      </c>
      <c r="T180" t="s">
        <v>117</v>
      </c>
    </row>
    <row r="181" spans="1:20" x14ac:dyDescent="0.3">
      <c r="A181" t="s">
        <v>115</v>
      </c>
      <c r="B181" s="8">
        <v>0.55555555555555558</v>
      </c>
      <c r="C181" t="s">
        <v>116</v>
      </c>
      <c r="D181">
        <v>100</v>
      </c>
      <c r="E181">
        <v>257.89999999999998</v>
      </c>
      <c r="F181" t="s">
        <v>117</v>
      </c>
      <c r="N181" s="7">
        <v>45390</v>
      </c>
      <c r="O181" t="s">
        <v>115</v>
      </c>
      <c r="P181" s="1">
        <v>0.55555555555555558</v>
      </c>
      <c r="Q181" t="s">
        <v>116</v>
      </c>
      <c r="R181">
        <v>100</v>
      </c>
      <c r="S181">
        <v>107.4</v>
      </c>
      <c r="T181" t="s">
        <v>117</v>
      </c>
    </row>
    <row r="182" spans="1:20" x14ac:dyDescent="0.3">
      <c r="A182" t="s">
        <v>115</v>
      </c>
      <c r="B182" s="8">
        <v>0.55902777777777779</v>
      </c>
      <c r="C182" t="s">
        <v>116</v>
      </c>
      <c r="D182">
        <v>100</v>
      </c>
      <c r="E182">
        <v>257.2</v>
      </c>
      <c r="F182" t="s">
        <v>117</v>
      </c>
      <c r="N182" s="7">
        <v>45390</v>
      </c>
      <c r="O182" t="s">
        <v>115</v>
      </c>
      <c r="P182" s="1">
        <v>0.55902777777777779</v>
      </c>
      <c r="Q182" t="s">
        <v>116</v>
      </c>
      <c r="R182">
        <v>100</v>
      </c>
      <c r="S182">
        <v>105.3</v>
      </c>
      <c r="T182" t="s">
        <v>117</v>
      </c>
    </row>
    <row r="183" spans="1:20" x14ac:dyDescent="0.3">
      <c r="A183" t="s">
        <v>115</v>
      </c>
      <c r="B183" s="8">
        <v>0.5625</v>
      </c>
      <c r="C183" t="s">
        <v>116</v>
      </c>
      <c r="D183">
        <v>100</v>
      </c>
      <c r="E183">
        <v>221.1</v>
      </c>
      <c r="F183" t="s">
        <v>117</v>
      </c>
      <c r="N183" s="7">
        <v>45390</v>
      </c>
      <c r="O183" t="s">
        <v>115</v>
      </c>
      <c r="P183" s="1">
        <v>0.5625</v>
      </c>
      <c r="Q183" t="s">
        <v>116</v>
      </c>
      <c r="R183">
        <v>100</v>
      </c>
      <c r="S183">
        <v>110</v>
      </c>
      <c r="T183" t="s">
        <v>117</v>
      </c>
    </row>
    <row r="184" spans="1:20" x14ac:dyDescent="0.3">
      <c r="A184" t="s">
        <v>115</v>
      </c>
      <c r="B184" s="8">
        <v>0.56597222222222221</v>
      </c>
      <c r="C184" t="s">
        <v>116</v>
      </c>
      <c r="D184">
        <v>70</v>
      </c>
      <c r="E184">
        <v>235.6</v>
      </c>
      <c r="F184" t="s">
        <v>117</v>
      </c>
      <c r="N184" s="7">
        <v>45390</v>
      </c>
      <c r="O184" t="s">
        <v>115</v>
      </c>
      <c r="P184" s="1">
        <v>0.56597222222222221</v>
      </c>
      <c r="Q184" t="s">
        <v>116</v>
      </c>
      <c r="R184">
        <v>70</v>
      </c>
      <c r="S184">
        <v>98.8</v>
      </c>
      <c r="T184" t="s">
        <v>117</v>
      </c>
    </row>
    <row r="185" spans="1:20" x14ac:dyDescent="0.3">
      <c r="A185" t="s">
        <v>115</v>
      </c>
      <c r="B185" s="8">
        <v>0.56944444444444442</v>
      </c>
      <c r="C185" t="s">
        <v>116</v>
      </c>
      <c r="D185">
        <v>70</v>
      </c>
      <c r="E185">
        <v>238.2</v>
      </c>
      <c r="F185" t="s">
        <v>117</v>
      </c>
      <c r="N185" s="7">
        <v>45390</v>
      </c>
      <c r="O185" t="s">
        <v>115</v>
      </c>
      <c r="P185" s="1">
        <v>0.56944444444444442</v>
      </c>
      <c r="Q185" t="s">
        <v>116</v>
      </c>
      <c r="R185">
        <v>70</v>
      </c>
      <c r="S185">
        <v>92.8</v>
      </c>
      <c r="T185" t="s">
        <v>117</v>
      </c>
    </row>
    <row r="186" spans="1:20" x14ac:dyDescent="0.3">
      <c r="A186" t="s">
        <v>115</v>
      </c>
      <c r="B186" s="8">
        <v>0.57291666666666663</v>
      </c>
      <c r="C186" t="s">
        <v>116</v>
      </c>
      <c r="D186">
        <v>100</v>
      </c>
      <c r="E186">
        <v>237.3</v>
      </c>
      <c r="F186" t="s">
        <v>117</v>
      </c>
      <c r="N186" s="7">
        <v>45390</v>
      </c>
      <c r="O186" t="s">
        <v>115</v>
      </c>
      <c r="P186" s="1">
        <v>0.57291666666666663</v>
      </c>
      <c r="Q186" t="s">
        <v>116</v>
      </c>
      <c r="R186">
        <v>100</v>
      </c>
      <c r="S186">
        <v>103.2</v>
      </c>
      <c r="T186" t="s">
        <v>117</v>
      </c>
    </row>
    <row r="187" spans="1:20" x14ac:dyDescent="0.3">
      <c r="A187" t="s">
        <v>115</v>
      </c>
      <c r="B187" s="8">
        <v>0.57638888888888884</v>
      </c>
      <c r="C187" t="s">
        <v>116</v>
      </c>
      <c r="D187">
        <v>100</v>
      </c>
      <c r="E187">
        <v>252.9</v>
      </c>
      <c r="F187" t="s">
        <v>117</v>
      </c>
      <c r="N187" s="7">
        <v>45390</v>
      </c>
      <c r="O187" t="s">
        <v>115</v>
      </c>
      <c r="P187" s="1">
        <v>0.57638888888888884</v>
      </c>
      <c r="Q187" t="s">
        <v>116</v>
      </c>
      <c r="R187">
        <v>100</v>
      </c>
      <c r="S187">
        <v>110</v>
      </c>
      <c r="T187" t="s">
        <v>117</v>
      </c>
    </row>
    <row r="188" spans="1:20" x14ac:dyDescent="0.3">
      <c r="A188" t="s">
        <v>115</v>
      </c>
      <c r="B188" s="8">
        <v>0.57986111111111116</v>
      </c>
      <c r="C188" t="s">
        <v>116</v>
      </c>
      <c r="D188">
        <v>100</v>
      </c>
      <c r="E188">
        <v>255.5</v>
      </c>
      <c r="F188" t="s">
        <v>117</v>
      </c>
      <c r="N188" s="7">
        <v>45390</v>
      </c>
      <c r="O188" t="s">
        <v>115</v>
      </c>
      <c r="P188" s="1">
        <v>0.57986111111111116</v>
      </c>
      <c r="Q188" t="s">
        <v>116</v>
      </c>
      <c r="R188">
        <v>100</v>
      </c>
      <c r="S188">
        <v>108.5</v>
      </c>
      <c r="T188" t="s">
        <v>117</v>
      </c>
    </row>
    <row r="189" spans="1:20" x14ac:dyDescent="0.3">
      <c r="A189" t="s">
        <v>115</v>
      </c>
      <c r="B189" s="8">
        <v>0.58333333333333337</v>
      </c>
      <c r="C189" t="s">
        <v>116</v>
      </c>
      <c r="D189">
        <v>100</v>
      </c>
      <c r="E189">
        <v>260.2</v>
      </c>
      <c r="F189" t="s">
        <v>117</v>
      </c>
      <c r="N189" s="7">
        <v>45390</v>
      </c>
      <c r="O189" t="s">
        <v>115</v>
      </c>
      <c r="P189" s="1">
        <v>0.58333333333333337</v>
      </c>
      <c r="Q189" t="s">
        <v>116</v>
      </c>
      <c r="R189">
        <v>100</v>
      </c>
      <c r="S189">
        <v>101.2</v>
      </c>
      <c r="T189" t="s">
        <v>117</v>
      </c>
    </row>
    <row r="190" spans="1:20" x14ac:dyDescent="0.3">
      <c r="A190" t="s">
        <v>115</v>
      </c>
      <c r="B190" s="8">
        <v>0.58680555555555558</v>
      </c>
      <c r="C190" t="s">
        <v>116</v>
      </c>
      <c r="D190">
        <v>100</v>
      </c>
      <c r="E190">
        <v>250</v>
      </c>
      <c r="F190" t="s">
        <v>117</v>
      </c>
      <c r="N190" s="7">
        <v>45390</v>
      </c>
      <c r="O190" t="s">
        <v>115</v>
      </c>
      <c r="P190" s="1">
        <v>0.58680555555555558</v>
      </c>
      <c r="Q190" t="s">
        <v>116</v>
      </c>
      <c r="R190">
        <v>100</v>
      </c>
      <c r="S190">
        <v>101</v>
      </c>
      <c r="T190" t="s">
        <v>117</v>
      </c>
    </row>
    <row r="191" spans="1:20" x14ac:dyDescent="0.3">
      <c r="A191" t="s">
        <v>115</v>
      </c>
      <c r="B191" s="8">
        <v>0.59027777777777779</v>
      </c>
      <c r="C191" t="s">
        <v>116</v>
      </c>
      <c r="D191">
        <v>100</v>
      </c>
      <c r="E191">
        <v>228.6</v>
      </c>
      <c r="F191" t="s">
        <v>117</v>
      </c>
      <c r="N191" s="7">
        <v>45390</v>
      </c>
      <c r="O191" t="s">
        <v>115</v>
      </c>
      <c r="P191" s="1">
        <v>0.59027777777777779</v>
      </c>
      <c r="Q191" t="s">
        <v>116</v>
      </c>
      <c r="R191">
        <v>100</v>
      </c>
      <c r="S191">
        <v>110</v>
      </c>
      <c r="T191" t="s">
        <v>117</v>
      </c>
    </row>
    <row r="192" spans="1:20" x14ac:dyDescent="0.3">
      <c r="A192" t="s">
        <v>115</v>
      </c>
      <c r="B192" s="8">
        <v>0.59375</v>
      </c>
      <c r="C192" t="s">
        <v>116</v>
      </c>
      <c r="D192">
        <v>100</v>
      </c>
      <c r="E192">
        <v>228.2</v>
      </c>
      <c r="F192" t="s">
        <v>117</v>
      </c>
      <c r="N192" s="7">
        <v>45390</v>
      </c>
      <c r="O192" t="s">
        <v>115</v>
      </c>
      <c r="P192" s="1">
        <v>0.59375</v>
      </c>
      <c r="Q192" t="s">
        <v>116</v>
      </c>
      <c r="R192">
        <v>100</v>
      </c>
      <c r="S192">
        <v>97.2</v>
      </c>
      <c r="T192" t="s">
        <v>117</v>
      </c>
    </row>
    <row r="193" spans="1:20" x14ac:dyDescent="0.3">
      <c r="A193" t="s">
        <v>115</v>
      </c>
      <c r="B193" s="8">
        <v>0.59722222222222221</v>
      </c>
      <c r="C193" t="s">
        <v>116</v>
      </c>
      <c r="D193">
        <v>100</v>
      </c>
      <c r="E193">
        <v>236.2</v>
      </c>
      <c r="F193" t="s">
        <v>117</v>
      </c>
      <c r="N193" s="7">
        <v>45390</v>
      </c>
      <c r="O193" t="s">
        <v>115</v>
      </c>
      <c r="P193" s="1">
        <v>0.59722222222222221</v>
      </c>
      <c r="Q193" t="s">
        <v>116</v>
      </c>
      <c r="R193">
        <v>100</v>
      </c>
      <c r="S193">
        <v>97.4</v>
      </c>
      <c r="T193" t="s">
        <v>117</v>
      </c>
    </row>
    <row r="194" spans="1:20" x14ac:dyDescent="0.3">
      <c r="A194" t="s">
        <v>115</v>
      </c>
      <c r="B194" s="8">
        <v>0.60069444444444442</v>
      </c>
      <c r="C194" t="s">
        <v>116</v>
      </c>
      <c r="D194">
        <v>70</v>
      </c>
      <c r="E194">
        <v>253</v>
      </c>
      <c r="F194" t="s">
        <v>117</v>
      </c>
      <c r="N194" s="7">
        <v>45390</v>
      </c>
      <c r="O194" t="s">
        <v>115</v>
      </c>
      <c r="P194" s="1">
        <v>0.60069444444444442</v>
      </c>
      <c r="Q194" t="s">
        <v>116</v>
      </c>
      <c r="R194">
        <v>70</v>
      </c>
      <c r="S194">
        <v>97.1</v>
      </c>
      <c r="T194" t="s">
        <v>117</v>
      </c>
    </row>
    <row r="195" spans="1:20" x14ac:dyDescent="0.3">
      <c r="A195" t="s">
        <v>115</v>
      </c>
      <c r="B195" s="8">
        <v>0.60416666666666663</v>
      </c>
      <c r="C195" t="s">
        <v>116</v>
      </c>
      <c r="D195">
        <v>100</v>
      </c>
      <c r="E195">
        <v>232.8</v>
      </c>
      <c r="F195" t="s">
        <v>117</v>
      </c>
      <c r="N195" s="7">
        <v>45390</v>
      </c>
      <c r="O195" t="s">
        <v>115</v>
      </c>
      <c r="P195" s="1">
        <v>0.60416666666666663</v>
      </c>
      <c r="Q195" t="s">
        <v>116</v>
      </c>
      <c r="R195">
        <v>100</v>
      </c>
      <c r="S195">
        <v>89.6</v>
      </c>
      <c r="T195" t="s">
        <v>117</v>
      </c>
    </row>
    <row r="196" spans="1:20" x14ac:dyDescent="0.3">
      <c r="A196" t="s">
        <v>115</v>
      </c>
      <c r="B196" s="8">
        <v>0.60763888888888884</v>
      </c>
      <c r="C196" t="s">
        <v>116</v>
      </c>
      <c r="D196">
        <v>100</v>
      </c>
      <c r="E196">
        <v>256.8</v>
      </c>
      <c r="F196" t="s">
        <v>117</v>
      </c>
      <c r="N196" s="7">
        <v>45390</v>
      </c>
      <c r="O196" t="s">
        <v>115</v>
      </c>
      <c r="P196" s="1">
        <v>0.60763888888888884</v>
      </c>
      <c r="Q196" t="s">
        <v>116</v>
      </c>
      <c r="R196">
        <v>100</v>
      </c>
      <c r="S196">
        <v>90.3</v>
      </c>
      <c r="T196" t="s">
        <v>117</v>
      </c>
    </row>
    <row r="197" spans="1:20" x14ac:dyDescent="0.3">
      <c r="A197" t="s">
        <v>115</v>
      </c>
      <c r="B197" s="8">
        <v>0.61111111111111116</v>
      </c>
      <c r="C197" t="s">
        <v>116</v>
      </c>
      <c r="D197">
        <v>100</v>
      </c>
      <c r="E197">
        <v>249.2</v>
      </c>
      <c r="F197" t="s">
        <v>117</v>
      </c>
      <c r="N197" s="7">
        <v>45390</v>
      </c>
      <c r="O197" t="s">
        <v>115</v>
      </c>
      <c r="P197" s="1">
        <v>0.61111111111111116</v>
      </c>
      <c r="Q197" t="s">
        <v>116</v>
      </c>
      <c r="R197">
        <v>100</v>
      </c>
      <c r="S197">
        <v>110</v>
      </c>
      <c r="T197" t="s">
        <v>117</v>
      </c>
    </row>
    <row r="198" spans="1:20" x14ac:dyDescent="0.3">
      <c r="A198" t="s">
        <v>115</v>
      </c>
      <c r="B198" s="8">
        <v>0.61458333333333337</v>
      </c>
      <c r="C198" t="s">
        <v>116</v>
      </c>
      <c r="D198">
        <v>100</v>
      </c>
      <c r="E198">
        <v>255</v>
      </c>
      <c r="F198" t="s">
        <v>117</v>
      </c>
      <c r="N198" s="7">
        <v>45390</v>
      </c>
      <c r="O198" t="s">
        <v>115</v>
      </c>
      <c r="P198" s="1">
        <v>0.61458333333333337</v>
      </c>
      <c r="Q198" t="s">
        <v>116</v>
      </c>
      <c r="R198">
        <v>100</v>
      </c>
      <c r="S198">
        <v>98.7</v>
      </c>
      <c r="T198" t="s">
        <v>117</v>
      </c>
    </row>
    <row r="199" spans="1:20" x14ac:dyDescent="0.3">
      <c r="A199" t="s">
        <v>115</v>
      </c>
      <c r="B199" s="8">
        <v>0.61805555555555558</v>
      </c>
      <c r="C199" t="s">
        <v>116</v>
      </c>
      <c r="D199">
        <v>100</v>
      </c>
      <c r="E199">
        <v>264.2</v>
      </c>
      <c r="F199" t="s">
        <v>117</v>
      </c>
      <c r="N199" s="7">
        <v>45390</v>
      </c>
      <c r="O199" t="s">
        <v>115</v>
      </c>
      <c r="P199" s="1">
        <v>0.61805555555555558</v>
      </c>
      <c r="Q199" t="s">
        <v>116</v>
      </c>
      <c r="R199">
        <v>100</v>
      </c>
      <c r="S199">
        <v>110</v>
      </c>
      <c r="T199" t="s">
        <v>117</v>
      </c>
    </row>
    <row r="200" spans="1:20" x14ac:dyDescent="0.3">
      <c r="A200" t="s">
        <v>115</v>
      </c>
      <c r="B200" s="8">
        <v>0.62152777777777779</v>
      </c>
      <c r="C200" t="s">
        <v>116</v>
      </c>
      <c r="D200">
        <v>100</v>
      </c>
      <c r="E200">
        <v>279.10000000000002</v>
      </c>
      <c r="F200" t="s">
        <v>117</v>
      </c>
      <c r="N200" s="7">
        <v>45390</v>
      </c>
      <c r="O200" t="s">
        <v>115</v>
      </c>
      <c r="P200" s="1">
        <v>0.62152777777777779</v>
      </c>
      <c r="Q200" t="s">
        <v>116</v>
      </c>
      <c r="R200">
        <v>100</v>
      </c>
      <c r="S200">
        <v>91.5</v>
      </c>
      <c r="T200" t="s">
        <v>117</v>
      </c>
    </row>
    <row r="201" spans="1:20" x14ac:dyDescent="0.3">
      <c r="A201" t="s">
        <v>115</v>
      </c>
      <c r="B201" s="8">
        <v>0.625</v>
      </c>
      <c r="C201" t="s">
        <v>116</v>
      </c>
      <c r="D201">
        <v>100</v>
      </c>
      <c r="E201">
        <v>277.5</v>
      </c>
      <c r="F201" t="s">
        <v>117</v>
      </c>
      <c r="N201" s="7">
        <v>45390</v>
      </c>
      <c r="O201" t="s">
        <v>115</v>
      </c>
      <c r="P201" s="1">
        <v>0.625</v>
      </c>
      <c r="Q201" t="s">
        <v>116</v>
      </c>
      <c r="R201">
        <v>100</v>
      </c>
      <c r="S201">
        <v>88.5</v>
      </c>
      <c r="T201" t="s">
        <v>117</v>
      </c>
    </row>
    <row r="202" spans="1:20" x14ac:dyDescent="0.3">
      <c r="A202" t="s">
        <v>115</v>
      </c>
      <c r="B202" s="8">
        <v>0.62847222222222221</v>
      </c>
      <c r="C202" t="s">
        <v>116</v>
      </c>
      <c r="D202">
        <v>100</v>
      </c>
      <c r="E202">
        <v>268.60000000000002</v>
      </c>
      <c r="F202" t="s">
        <v>117</v>
      </c>
      <c r="N202" s="7">
        <v>45390</v>
      </c>
      <c r="O202" t="s">
        <v>115</v>
      </c>
      <c r="P202" s="1">
        <v>0.62847222222222221</v>
      </c>
      <c r="Q202" t="s">
        <v>116</v>
      </c>
      <c r="R202">
        <v>100</v>
      </c>
      <c r="S202">
        <v>90</v>
      </c>
      <c r="T202" t="s">
        <v>117</v>
      </c>
    </row>
    <row r="203" spans="1:20" x14ac:dyDescent="0.3">
      <c r="A203" t="s">
        <v>115</v>
      </c>
      <c r="B203" s="8">
        <v>0.63194444444444442</v>
      </c>
      <c r="C203" t="s">
        <v>116</v>
      </c>
      <c r="D203">
        <v>100</v>
      </c>
      <c r="E203">
        <v>266.7</v>
      </c>
      <c r="F203" t="s">
        <v>117</v>
      </c>
      <c r="N203" s="7">
        <v>45390</v>
      </c>
      <c r="O203" t="s">
        <v>115</v>
      </c>
      <c r="P203" s="1">
        <v>0.63194444444444442</v>
      </c>
      <c r="Q203" t="s">
        <v>116</v>
      </c>
      <c r="R203">
        <v>100</v>
      </c>
      <c r="S203">
        <v>102.3</v>
      </c>
      <c r="T203" t="s">
        <v>117</v>
      </c>
    </row>
    <row r="204" spans="1:20" x14ac:dyDescent="0.3">
      <c r="A204" t="s">
        <v>115</v>
      </c>
      <c r="B204" s="8">
        <v>0.63541666666666663</v>
      </c>
      <c r="C204" t="s">
        <v>116</v>
      </c>
      <c r="D204">
        <v>70</v>
      </c>
      <c r="E204">
        <v>258.7</v>
      </c>
      <c r="F204" t="s">
        <v>117</v>
      </c>
      <c r="N204" s="7">
        <v>45390</v>
      </c>
      <c r="O204" t="s">
        <v>115</v>
      </c>
      <c r="P204" s="1">
        <v>0.63541666666666663</v>
      </c>
      <c r="Q204" t="s">
        <v>116</v>
      </c>
      <c r="R204">
        <v>70</v>
      </c>
      <c r="S204">
        <v>97.7</v>
      </c>
      <c r="T204" t="s">
        <v>117</v>
      </c>
    </row>
    <row r="205" spans="1:20" x14ac:dyDescent="0.3">
      <c r="A205" t="s">
        <v>115</v>
      </c>
      <c r="B205" s="8">
        <v>0.63888888888888884</v>
      </c>
      <c r="C205" t="s">
        <v>116</v>
      </c>
      <c r="D205">
        <v>100</v>
      </c>
      <c r="E205">
        <v>254.1</v>
      </c>
      <c r="F205" t="s">
        <v>117</v>
      </c>
      <c r="N205" s="7">
        <v>45390</v>
      </c>
      <c r="O205" t="s">
        <v>115</v>
      </c>
      <c r="P205" s="1">
        <v>0.63888888888888884</v>
      </c>
      <c r="Q205" t="s">
        <v>116</v>
      </c>
      <c r="R205">
        <v>100</v>
      </c>
      <c r="S205">
        <v>89.8</v>
      </c>
      <c r="T205" t="s">
        <v>117</v>
      </c>
    </row>
    <row r="206" spans="1:20" x14ac:dyDescent="0.3">
      <c r="A206" t="s">
        <v>115</v>
      </c>
      <c r="B206" s="8">
        <v>0.64236111111111116</v>
      </c>
      <c r="C206" t="s">
        <v>116</v>
      </c>
      <c r="D206">
        <v>100</v>
      </c>
      <c r="E206">
        <v>261.3</v>
      </c>
      <c r="F206" t="s">
        <v>117</v>
      </c>
      <c r="N206" s="7">
        <v>45390</v>
      </c>
      <c r="O206" t="s">
        <v>115</v>
      </c>
      <c r="P206" s="1">
        <v>0.64236111111111116</v>
      </c>
      <c r="Q206" t="s">
        <v>116</v>
      </c>
      <c r="R206">
        <v>100</v>
      </c>
      <c r="S206">
        <v>110</v>
      </c>
      <c r="T206" t="s">
        <v>117</v>
      </c>
    </row>
    <row r="207" spans="1:20" x14ac:dyDescent="0.3">
      <c r="A207" t="s">
        <v>115</v>
      </c>
      <c r="B207" s="8">
        <v>0.64583333333333337</v>
      </c>
      <c r="C207" t="s">
        <v>116</v>
      </c>
      <c r="D207">
        <v>100</v>
      </c>
      <c r="E207">
        <v>272.5</v>
      </c>
      <c r="F207" t="s">
        <v>117</v>
      </c>
      <c r="N207" s="7">
        <v>45390</v>
      </c>
      <c r="O207" t="s">
        <v>115</v>
      </c>
      <c r="P207" s="1">
        <v>0.64583333333333337</v>
      </c>
      <c r="Q207" t="s">
        <v>116</v>
      </c>
      <c r="R207">
        <v>100</v>
      </c>
      <c r="S207">
        <v>100</v>
      </c>
      <c r="T207" t="s">
        <v>117</v>
      </c>
    </row>
    <row r="208" spans="1:20" x14ac:dyDescent="0.3">
      <c r="A208" t="s">
        <v>115</v>
      </c>
      <c r="B208" s="8">
        <v>0.64930555555555558</v>
      </c>
      <c r="C208" t="s">
        <v>116</v>
      </c>
      <c r="D208">
        <v>100</v>
      </c>
      <c r="E208">
        <v>276.10000000000002</v>
      </c>
      <c r="F208" t="s">
        <v>117</v>
      </c>
      <c r="N208" s="7">
        <v>45390</v>
      </c>
      <c r="O208" t="s">
        <v>115</v>
      </c>
      <c r="P208" s="1">
        <v>0.64930555555555558</v>
      </c>
      <c r="Q208" t="s">
        <v>116</v>
      </c>
      <c r="R208">
        <v>100</v>
      </c>
      <c r="S208">
        <v>90.8</v>
      </c>
      <c r="T208" t="s">
        <v>117</v>
      </c>
    </row>
    <row r="209" spans="1:20" x14ac:dyDescent="0.3">
      <c r="A209" t="s">
        <v>115</v>
      </c>
      <c r="B209" s="8">
        <v>0.65277777777777779</v>
      </c>
      <c r="C209" t="s">
        <v>116</v>
      </c>
      <c r="D209">
        <v>100</v>
      </c>
      <c r="E209">
        <v>292.3</v>
      </c>
      <c r="F209" t="s">
        <v>117</v>
      </c>
      <c r="N209" s="7">
        <v>45390</v>
      </c>
      <c r="O209" t="s">
        <v>115</v>
      </c>
      <c r="P209" s="1">
        <v>0.65277777777777779</v>
      </c>
      <c r="Q209" t="s">
        <v>116</v>
      </c>
      <c r="R209">
        <v>100</v>
      </c>
      <c r="S209">
        <v>93.8</v>
      </c>
      <c r="T209" t="s">
        <v>117</v>
      </c>
    </row>
    <row r="210" spans="1:20" x14ac:dyDescent="0.3">
      <c r="A210" t="s">
        <v>115</v>
      </c>
      <c r="B210" s="8">
        <v>0.65625</v>
      </c>
      <c r="C210" t="s">
        <v>116</v>
      </c>
      <c r="D210">
        <v>100</v>
      </c>
      <c r="E210">
        <v>274.89999999999998</v>
      </c>
      <c r="F210" t="s">
        <v>117</v>
      </c>
      <c r="N210" s="7">
        <v>45390</v>
      </c>
      <c r="O210" t="s">
        <v>115</v>
      </c>
      <c r="P210" s="1">
        <v>0.65625</v>
      </c>
      <c r="Q210" t="s">
        <v>116</v>
      </c>
      <c r="R210">
        <v>100</v>
      </c>
      <c r="S210">
        <v>93.1</v>
      </c>
      <c r="T210" t="s">
        <v>117</v>
      </c>
    </row>
    <row r="211" spans="1:20" x14ac:dyDescent="0.3">
      <c r="A211" t="s">
        <v>115</v>
      </c>
      <c r="B211" s="8">
        <v>0.65972222222222221</v>
      </c>
      <c r="C211" t="s">
        <v>116</v>
      </c>
      <c r="D211">
        <v>100</v>
      </c>
      <c r="E211">
        <v>255</v>
      </c>
      <c r="F211" t="s">
        <v>117</v>
      </c>
      <c r="N211" s="7">
        <v>45390</v>
      </c>
      <c r="O211" t="s">
        <v>115</v>
      </c>
      <c r="P211" s="1">
        <v>0.65972222222222221</v>
      </c>
      <c r="Q211" t="s">
        <v>116</v>
      </c>
      <c r="R211">
        <v>100</v>
      </c>
      <c r="S211">
        <v>110</v>
      </c>
      <c r="T211" t="s">
        <v>117</v>
      </c>
    </row>
    <row r="212" spans="1:20" x14ac:dyDescent="0.3">
      <c r="A212" t="s">
        <v>115</v>
      </c>
      <c r="B212" s="8">
        <v>0.66319444444444442</v>
      </c>
      <c r="C212" t="s">
        <v>116</v>
      </c>
      <c r="D212">
        <v>100</v>
      </c>
      <c r="E212">
        <v>283.8</v>
      </c>
      <c r="F212" t="s">
        <v>117</v>
      </c>
      <c r="N212" s="7">
        <v>45390</v>
      </c>
      <c r="O212" t="s">
        <v>115</v>
      </c>
      <c r="P212" s="1">
        <v>0.66319444444444442</v>
      </c>
      <c r="Q212" t="s">
        <v>116</v>
      </c>
      <c r="R212">
        <v>100</v>
      </c>
      <c r="S212">
        <v>107.2</v>
      </c>
      <c r="T212" t="s">
        <v>117</v>
      </c>
    </row>
    <row r="213" spans="1:20" x14ac:dyDescent="0.3">
      <c r="A213" t="s">
        <v>115</v>
      </c>
      <c r="B213" s="8">
        <v>0.66666666666666663</v>
      </c>
      <c r="C213" t="s">
        <v>116</v>
      </c>
      <c r="D213">
        <v>100</v>
      </c>
      <c r="E213">
        <v>297.7</v>
      </c>
      <c r="F213" t="s">
        <v>117</v>
      </c>
      <c r="N213" s="7">
        <v>45390</v>
      </c>
      <c r="O213" t="s">
        <v>115</v>
      </c>
      <c r="P213" s="1">
        <v>0.66666666666666663</v>
      </c>
      <c r="Q213" t="s">
        <v>116</v>
      </c>
      <c r="R213">
        <v>100</v>
      </c>
      <c r="S213">
        <v>110</v>
      </c>
      <c r="T213" t="s">
        <v>117</v>
      </c>
    </row>
    <row r="214" spans="1:20" x14ac:dyDescent="0.3">
      <c r="A214" t="s">
        <v>115</v>
      </c>
      <c r="B214" s="8">
        <v>0.67013888888888884</v>
      </c>
      <c r="C214" t="s">
        <v>116</v>
      </c>
      <c r="D214">
        <v>100</v>
      </c>
      <c r="E214">
        <v>292.8</v>
      </c>
      <c r="F214" t="s">
        <v>117</v>
      </c>
      <c r="N214" s="7">
        <v>45390</v>
      </c>
      <c r="O214" t="s">
        <v>115</v>
      </c>
      <c r="P214" s="1">
        <v>0.67013888888888884</v>
      </c>
      <c r="Q214" t="s">
        <v>116</v>
      </c>
      <c r="R214">
        <v>100</v>
      </c>
      <c r="S214">
        <v>119.1</v>
      </c>
      <c r="T214" t="s">
        <v>117</v>
      </c>
    </row>
    <row r="215" spans="1:20" x14ac:dyDescent="0.3">
      <c r="A215" t="s">
        <v>115</v>
      </c>
      <c r="B215" s="8">
        <v>0.67361111111111116</v>
      </c>
      <c r="C215" t="s">
        <v>116</v>
      </c>
      <c r="D215">
        <v>70</v>
      </c>
      <c r="E215">
        <v>274.3</v>
      </c>
      <c r="F215" t="s">
        <v>117</v>
      </c>
      <c r="N215" s="7">
        <v>45390</v>
      </c>
      <c r="O215" t="s">
        <v>115</v>
      </c>
      <c r="P215" s="1">
        <v>0.67361111111111116</v>
      </c>
      <c r="Q215" t="s">
        <v>116</v>
      </c>
      <c r="R215">
        <v>70</v>
      </c>
      <c r="S215">
        <v>97.2</v>
      </c>
      <c r="T215" t="s">
        <v>117</v>
      </c>
    </row>
    <row r="216" spans="1:20" x14ac:dyDescent="0.3">
      <c r="A216" t="s">
        <v>115</v>
      </c>
      <c r="B216" s="8">
        <v>0.67708333333333337</v>
      </c>
      <c r="C216" t="s">
        <v>116</v>
      </c>
      <c r="D216">
        <v>70</v>
      </c>
      <c r="E216">
        <v>238.5</v>
      </c>
      <c r="F216" t="s">
        <v>117</v>
      </c>
      <c r="N216" s="7">
        <v>45390</v>
      </c>
      <c r="O216" t="s">
        <v>115</v>
      </c>
      <c r="P216" s="1">
        <v>0.67708333333333337</v>
      </c>
      <c r="Q216" t="s">
        <v>116</v>
      </c>
      <c r="R216">
        <v>70</v>
      </c>
      <c r="S216">
        <v>97</v>
      </c>
      <c r="T216" t="s">
        <v>117</v>
      </c>
    </row>
    <row r="217" spans="1:20" x14ac:dyDescent="0.3">
      <c r="A217" t="s">
        <v>115</v>
      </c>
      <c r="B217" s="8">
        <v>0.68055555555555558</v>
      </c>
      <c r="C217" t="s">
        <v>116</v>
      </c>
      <c r="D217">
        <v>100</v>
      </c>
      <c r="E217">
        <v>250.8</v>
      </c>
      <c r="F217" t="s">
        <v>117</v>
      </c>
      <c r="N217" s="7">
        <v>45390</v>
      </c>
      <c r="O217" t="s">
        <v>115</v>
      </c>
      <c r="P217" s="1">
        <v>0.68055555555555558</v>
      </c>
      <c r="Q217" t="s">
        <v>116</v>
      </c>
      <c r="R217">
        <v>100</v>
      </c>
      <c r="S217">
        <v>101.5</v>
      </c>
      <c r="T217" t="s">
        <v>117</v>
      </c>
    </row>
    <row r="218" spans="1:20" x14ac:dyDescent="0.3">
      <c r="A218" t="s">
        <v>115</v>
      </c>
      <c r="B218" s="8">
        <v>0.68402777777777779</v>
      </c>
      <c r="C218" t="s">
        <v>116</v>
      </c>
      <c r="D218">
        <v>100</v>
      </c>
      <c r="E218">
        <v>277.10000000000002</v>
      </c>
      <c r="F218" t="s">
        <v>117</v>
      </c>
      <c r="N218" s="7">
        <v>45390</v>
      </c>
      <c r="O218" t="s">
        <v>115</v>
      </c>
      <c r="P218" s="1">
        <v>0.68402777777777779</v>
      </c>
      <c r="Q218" t="s">
        <v>116</v>
      </c>
      <c r="R218">
        <v>100</v>
      </c>
      <c r="S218">
        <v>100.8</v>
      </c>
      <c r="T218" t="s">
        <v>117</v>
      </c>
    </row>
    <row r="219" spans="1:20" x14ac:dyDescent="0.3">
      <c r="A219" t="s">
        <v>115</v>
      </c>
      <c r="B219" s="8">
        <v>0.6875</v>
      </c>
      <c r="C219" t="s">
        <v>116</v>
      </c>
      <c r="D219">
        <v>100</v>
      </c>
      <c r="E219">
        <v>277.3</v>
      </c>
      <c r="F219" t="s">
        <v>117</v>
      </c>
      <c r="N219" s="7">
        <v>45390</v>
      </c>
      <c r="O219" t="s">
        <v>115</v>
      </c>
      <c r="P219" s="1">
        <v>0.6875</v>
      </c>
      <c r="Q219" t="s">
        <v>116</v>
      </c>
      <c r="R219">
        <v>100</v>
      </c>
      <c r="S219">
        <v>108.4</v>
      </c>
      <c r="T219" t="s">
        <v>117</v>
      </c>
    </row>
    <row r="220" spans="1:20" x14ac:dyDescent="0.3">
      <c r="A220" t="s">
        <v>115</v>
      </c>
      <c r="B220" s="8">
        <v>0.69097222222222221</v>
      </c>
      <c r="C220" t="s">
        <v>116</v>
      </c>
      <c r="D220">
        <v>100</v>
      </c>
      <c r="E220">
        <v>285.2</v>
      </c>
      <c r="F220" t="s">
        <v>117</v>
      </c>
      <c r="N220" s="7">
        <v>45390</v>
      </c>
      <c r="O220" t="s">
        <v>115</v>
      </c>
      <c r="P220" s="1">
        <v>0.69097222222222221</v>
      </c>
      <c r="Q220" t="s">
        <v>116</v>
      </c>
      <c r="R220">
        <v>100</v>
      </c>
      <c r="S220">
        <v>110</v>
      </c>
      <c r="T220" t="s">
        <v>117</v>
      </c>
    </row>
    <row r="221" spans="1:20" x14ac:dyDescent="0.3">
      <c r="A221" t="s">
        <v>115</v>
      </c>
      <c r="B221" s="8">
        <v>0.69444444444444442</v>
      </c>
      <c r="C221" t="s">
        <v>116</v>
      </c>
      <c r="D221">
        <v>100</v>
      </c>
      <c r="E221">
        <v>290.2</v>
      </c>
      <c r="F221" t="s">
        <v>117</v>
      </c>
      <c r="N221" s="7">
        <v>45390</v>
      </c>
      <c r="O221" t="s">
        <v>115</v>
      </c>
      <c r="P221" s="1">
        <v>0.69444444444444442</v>
      </c>
      <c r="Q221" t="s">
        <v>116</v>
      </c>
      <c r="R221">
        <v>100</v>
      </c>
      <c r="S221">
        <v>110</v>
      </c>
      <c r="T221" t="s">
        <v>117</v>
      </c>
    </row>
    <row r="222" spans="1:20" x14ac:dyDescent="0.3">
      <c r="A222" t="s">
        <v>115</v>
      </c>
      <c r="B222" s="8">
        <v>0.69791666666666663</v>
      </c>
      <c r="C222" t="s">
        <v>116</v>
      </c>
      <c r="D222">
        <v>100</v>
      </c>
      <c r="E222">
        <v>275</v>
      </c>
      <c r="F222" t="s">
        <v>117</v>
      </c>
      <c r="N222" s="7">
        <v>45390</v>
      </c>
      <c r="O222" t="s">
        <v>115</v>
      </c>
      <c r="P222" s="1">
        <v>0.69791666666666663</v>
      </c>
      <c r="Q222" t="s">
        <v>116</v>
      </c>
      <c r="R222">
        <v>100</v>
      </c>
      <c r="S222">
        <v>110</v>
      </c>
      <c r="T222" t="s">
        <v>117</v>
      </c>
    </row>
    <row r="223" spans="1:20" x14ac:dyDescent="0.3">
      <c r="A223" t="s">
        <v>115</v>
      </c>
      <c r="B223" s="8">
        <v>0.70138888888888884</v>
      </c>
      <c r="C223" t="s">
        <v>116</v>
      </c>
      <c r="D223">
        <v>100</v>
      </c>
      <c r="E223">
        <v>277.3</v>
      </c>
      <c r="F223" t="s">
        <v>117</v>
      </c>
      <c r="N223" s="7">
        <v>45390</v>
      </c>
      <c r="O223" t="s">
        <v>115</v>
      </c>
      <c r="P223" s="1">
        <v>0.70138888888888884</v>
      </c>
      <c r="Q223" t="s">
        <v>116</v>
      </c>
      <c r="R223">
        <v>100</v>
      </c>
      <c r="S223">
        <v>101.1</v>
      </c>
      <c r="T223" t="s">
        <v>117</v>
      </c>
    </row>
    <row r="224" spans="1:20" x14ac:dyDescent="0.3">
      <c r="A224" t="s">
        <v>115</v>
      </c>
      <c r="B224" s="8">
        <v>0.70486111111111116</v>
      </c>
      <c r="C224" t="s">
        <v>116</v>
      </c>
      <c r="D224">
        <v>100</v>
      </c>
      <c r="E224">
        <v>286.10000000000002</v>
      </c>
      <c r="F224" t="s">
        <v>117</v>
      </c>
      <c r="N224" s="7">
        <v>45390</v>
      </c>
      <c r="O224" t="s">
        <v>115</v>
      </c>
      <c r="P224" s="1">
        <v>0.70486111111111116</v>
      </c>
      <c r="Q224" t="s">
        <v>116</v>
      </c>
      <c r="R224">
        <v>100</v>
      </c>
      <c r="S224">
        <v>110</v>
      </c>
      <c r="T224" t="s">
        <v>117</v>
      </c>
    </row>
    <row r="225" spans="1:20" x14ac:dyDescent="0.3">
      <c r="A225" t="s">
        <v>115</v>
      </c>
      <c r="B225" s="8">
        <v>0.70833333333333337</v>
      </c>
      <c r="C225" t="s">
        <v>116</v>
      </c>
      <c r="D225">
        <v>100</v>
      </c>
      <c r="E225">
        <v>272.7</v>
      </c>
      <c r="F225" t="s">
        <v>117</v>
      </c>
      <c r="N225" s="7">
        <v>45390</v>
      </c>
      <c r="O225" t="s">
        <v>115</v>
      </c>
      <c r="P225" s="1">
        <v>0.70833333333333337</v>
      </c>
      <c r="Q225" t="s">
        <v>116</v>
      </c>
      <c r="R225">
        <v>100</v>
      </c>
      <c r="S225">
        <v>103.4</v>
      </c>
      <c r="T225" t="s">
        <v>117</v>
      </c>
    </row>
    <row r="226" spans="1:20" x14ac:dyDescent="0.3">
      <c r="A226" t="s">
        <v>115</v>
      </c>
      <c r="B226" s="8">
        <v>0.71180555555555558</v>
      </c>
      <c r="C226" t="s">
        <v>116</v>
      </c>
      <c r="D226">
        <v>100</v>
      </c>
      <c r="E226">
        <v>258.39999999999998</v>
      </c>
      <c r="F226" t="s">
        <v>117</v>
      </c>
      <c r="N226" s="7">
        <v>45390</v>
      </c>
      <c r="O226" t="s">
        <v>115</v>
      </c>
      <c r="P226" s="1">
        <v>0.71180555555555558</v>
      </c>
      <c r="Q226" t="s">
        <v>116</v>
      </c>
      <c r="R226">
        <v>100</v>
      </c>
      <c r="S226">
        <v>96.5</v>
      </c>
      <c r="T226" t="s">
        <v>117</v>
      </c>
    </row>
    <row r="227" spans="1:20" x14ac:dyDescent="0.3">
      <c r="A227" t="s">
        <v>115</v>
      </c>
      <c r="B227" s="8">
        <v>0.71527777777777779</v>
      </c>
      <c r="C227" t="s">
        <v>116</v>
      </c>
      <c r="D227">
        <v>70</v>
      </c>
      <c r="E227">
        <v>266.39999999999998</v>
      </c>
      <c r="F227" t="s">
        <v>117</v>
      </c>
      <c r="N227" s="7">
        <v>45390</v>
      </c>
      <c r="O227" t="s">
        <v>115</v>
      </c>
      <c r="P227" s="1">
        <v>0.71527777777777779</v>
      </c>
      <c r="Q227" t="s">
        <v>116</v>
      </c>
      <c r="R227">
        <v>70</v>
      </c>
      <c r="S227">
        <v>110</v>
      </c>
      <c r="T227" t="s">
        <v>117</v>
      </c>
    </row>
    <row r="228" spans="1:20" x14ac:dyDescent="0.3">
      <c r="A228" t="s">
        <v>115</v>
      </c>
      <c r="B228" s="8">
        <v>0.72222222222222221</v>
      </c>
      <c r="C228" t="s">
        <v>116</v>
      </c>
      <c r="D228">
        <v>100</v>
      </c>
      <c r="E228">
        <v>263.60000000000002</v>
      </c>
      <c r="F228" t="s">
        <v>117</v>
      </c>
      <c r="N228" s="7">
        <v>45390</v>
      </c>
      <c r="O228" t="s">
        <v>115</v>
      </c>
      <c r="P228" s="1">
        <v>0.71875</v>
      </c>
      <c r="Q228" t="s">
        <v>116</v>
      </c>
      <c r="R228">
        <v>0</v>
      </c>
      <c r="S228">
        <v>120.5</v>
      </c>
      <c r="T228" t="s">
        <v>117</v>
      </c>
    </row>
    <row r="229" spans="1:20" x14ac:dyDescent="0.3">
      <c r="A229" t="s">
        <v>115</v>
      </c>
      <c r="B229" s="8">
        <v>0.72569444444444442</v>
      </c>
      <c r="C229" t="s">
        <v>116</v>
      </c>
      <c r="D229">
        <v>100</v>
      </c>
      <c r="E229">
        <v>270.3</v>
      </c>
      <c r="F229" t="s">
        <v>117</v>
      </c>
      <c r="N229" s="7">
        <v>45390</v>
      </c>
      <c r="O229" t="s">
        <v>115</v>
      </c>
      <c r="P229" s="1">
        <v>0.72222222222222221</v>
      </c>
      <c r="Q229" t="s">
        <v>116</v>
      </c>
      <c r="R229">
        <v>100</v>
      </c>
      <c r="S229">
        <v>110</v>
      </c>
      <c r="T229" t="s">
        <v>117</v>
      </c>
    </row>
    <row r="230" spans="1:20" x14ac:dyDescent="0.3">
      <c r="A230" t="s">
        <v>115</v>
      </c>
      <c r="B230" s="8">
        <v>0.72916666666666663</v>
      </c>
      <c r="C230" t="s">
        <v>116</v>
      </c>
      <c r="D230">
        <v>100</v>
      </c>
      <c r="E230">
        <v>292.7</v>
      </c>
      <c r="F230" t="s">
        <v>117</v>
      </c>
      <c r="N230" s="7">
        <v>45390</v>
      </c>
      <c r="O230" t="s">
        <v>115</v>
      </c>
      <c r="P230" s="1">
        <v>0.72569444444444442</v>
      </c>
      <c r="Q230" t="s">
        <v>116</v>
      </c>
      <c r="R230">
        <v>100</v>
      </c>
      <c r="S230">
        <v>110</v>
      </c>
      <c r="T230" t="s">
        <v>117</v>
      </c>
    </row>
    <row r="231" spans="1:20" x14ac:dyDescent="0.3">
      <c r="A231" t="s">
        <v>115</v>
      </c>
      <c r="B231" s="8">
        <v>0.73263888888888884</v>
      </c>
      <c r="C231" t="s">
        <v>116</v>
      </c>
      <c r="D231">
        <v>100</v>
      </c>
      <c r="E231">
        <v>268.60000000000002</v>
      </c>
      <c r="F231" t="s">
        <v>117</v>
      </c>
      <c r="N231" s="7">
        <v>45390</v>
      </c>
      <c r="O231" t="s">
        <v>115</v>
      </c>
      <c r="P231" s="1">
        <v>0.72916666666666663</v>
      </c>
      <c r="Q231" t="s">
        <v>116</v>
      </c>
      <c r="R231">
        <v>100</v>
      </c>
      <c r="S231">
        <v>101.2</v>
      </c>
      <c r="T231" t="s">
        <v>117</v>
      </c>
    </row>
    <row r="232" spans="1:20" x14ac:dyDescent="0.3">
      <c r="A232" t="s">
        <v>115</v>
      </c>
      <c r="B232" s="8">
        <v>0.73611111111111116</v>
      </c>
      <c r="C232" t="s">
        <v>116</v>
      </c>
      <c r="D232">
        <v>100</v>
      </c>
      <c r="E232">
        <v>264.3</v>
      </c>
      <c r="F232" t="s">
        <v>117</v>
      </c>
      <c r="N232" s="7">
        <v>45390</v>
      </c>
      <c r="O232" t="s">
        <v>115</v>
      </c>
      <c r="P232" s="1">
        <v>0.73263888888888884</v>
      </c>
      <c r="Q232" t="s">
        <v>116</v>
      </c>
      <c r="R232">
        <v>100</v>
      </c>
      <c r="S232">
        <v>111</v>
      </c>
      <c r="T232" t="s">
        <v>117</v>
      </c>
    </row>
    <row r="233" spans="1:20" x14ac:dyDescent="0.3">
      <c r="A233" t="s">
        <v>115</v>
      </c>
      <c r="B233" s="8">
        <v>0.74305555555555558</v>
      </c>
      <c r="C233" t="s">
        <v>116</v>
      </c>
      <c r="D233">
        <v>100</v>
      </c>
      <c r="E233">
        <v>286.7</v>
      </c>
      <c r="F233" t="s">
        <v>117</v>
      </c>
      <c r="N233" s="7">
        <v>45390</v>
      </c>
      <c r="O233" t="s">
        <v>115</v>
      </c>
      <c r="P233" s="1">
        <v>0.73611111111111116</v>
      </c>
      <c r="Q233" t="s">
        <v>116</v>
      </c>
      <c r="R233">
        <v>100</v>
      </c>
      <c r="S233">
        <v>110</v>
      </c>
      <c r="T233" t="s">
        <v>117</v>
      </c>
    </row>
    <row r="234" spans="1:20" x14ac:dyDescent="0.3">
      <c r="A234" t="s">
        <v>115</v>
      </c>
      <c r="B234" s="8">
        <v>0.74652777777777779</v>
      </c>
      <c r="C234" t="s">
        <v>116</v>
      </c>
      <c r="D234">
        <v>100</v>
      </c>
      <c r="E234">
        <v>263.60000000000002</v>
      </c>
      <c r="F234" t="s">
        <v>117</v>
      </c>
      <c r="N234" s="7">
        <v>45390</v>
      </c>
      <c r="O234" t="s">
        <v>115</v>
      </c>
      <c r="P234" s="1">
        <v>0.73958333333333337</v>
      </c>
      <c r="Q234" t="s">
        <v>116</v>
      </c>
      <c r="R234">
        <v>0</v>
      </c>
      <c r="S234">
        <v>110</v>
      </c>
      <c r="T234" t="s">
        <v>117</v>
      </c>
    </row>
    <row r="235" spans="1:20" x14ac:dyDescent="0.3">
      <c r="A235" t="s">
        <v>115</v>
      </c>
      <c r="B235" s="8">
        <v>0.75</v>
      </c>
      <c r="C235" t="s">
        <v>116</v>
      </c>
      <c r="D235">
        <v>100</v>
      </c>
      <c r="E235">
        <v>290.7</v>
      </c>
      <c r="F235" t="s">
        <v>117</v>
      </c>
      <c r="N235" s="7">
        <v>45390</v>
      </c>
      <c r="O235" t="s">
        <v>115</v>
      </c>
      <c r="P235" s="1">
        <v>0.74305555555555558</v>
      </c>
      <c r="Q235" t="s">
        <v>116</v>
      </c>
      <c r="R235">
        <v>100</v>
      </c>
      <c r="S235">
        <v>110</v>
      </c>
      <c r="T235" t="s">
        <v>117</v>
      </c>
    </row>
    <row r="236" spans="1:20" x14ac:dyDescent="0.3">
      <c r="A236" t="s">
        <v>115</v>
      </c>
      <c r="B236" s="8">
        <v>0.75347222222222221</v>
      </c>
      <c r="C236" t="s">
        <v>116</v>
      </c>
      <c r="D236">
        <v>0</v>
      </c>
      <c r="E236">
        <v>296.3</v>
      </c>
      <c r="F236" t="s">
        <v>117</v>
      </c>
      <c r="N236" s="7">
        <v>45390</v>
      </c>
      <c r="O236" t="s">
        <v>115</v>
      </c>
      <c r="P236" s="1">
        <v>0.74652777777777779</v>
      </c>
      <c r="Q236" t="s">
        <v>116</v>
      </c>
      <c r="R236">
        <v>100</v>
      </c>
      <c r="S236">
        <v>110</v>
      </c>
      <c r="T236" t="s">
        <v>117</v>
      </c>
    </row>
    <row r="237" spans="1:20" x14ac:dyDescent="0.3">
      <c r="A237" t="s">
        <v>115</v>
      </c>
      <c r="B237" s="8">
        <v>0.75694444444444442</v>
      </c>
      <c r="C237" t="s">
        <v>116</v>
      </c>
      <c r="D237">
        <v>0</v>
      </c>
      <c r="E237">
        <v>279.89999999999998</v>
      </c>
      <c r="F237" t="s">
        <v>117</v>
      </c>
      <c r="N237" s="7">
        <v>45390</v>
      </c>
      <c r="O237" t="s">
        <v>115</v>
      </c>
      <c r="P237" s="1">
        <v>0.75</v>
      </c>
      <c r="Q237" t="s">
        <v>116</v>
      </c>
      <c r="R237">
        <v>100</v>
      </c>
      <c r="S237">
        <v>97.5</v>
      </c>
      <c r="T237" t="s">
        <v>117</v>
      </c>
    </row>
    <row r="238" spans="1:20" x14ac:dyDescent="0.3">
      <c r="A238" t="s">
        <v>115</v>
      </c>
      <c r="B238" s="8">
        <v>0.76041666666666663</v>
      </c>
      <c r="C238" t="s">
        <v>116</v>
      </c>
      <c r="D238">
        <v>100</v>
      </c>
      <c r="E238">
        <v>264.8</v>
      </c>
      <c r="F238" t="s">
        <v>117</v>
      </c>
      <c r="N238" s="7">
        <v>45390</v>
      </c>
      <c r="O238" t="s">
        <v>115</v>
      </c>
      <c r="P238" s="1">
        <v>0.75347222222222221</v>
      </c>
      <c r="Q238" t="s">
        <v>116</v>
      </c>
      <c r="R238">
        <v>0</v>
      </c>
      <c r="S238">
        <v>90.3</v>
      </c>
      <c r="T238" t="s">
        <v>117</v>
      </c>
    </row>
    <row r="239" spans="1:20" x14ac:dyDescent="0.3">
      <c r="A239" t="s">
        <v>115</v>
      </c>
      <c r="B239" s="8">
        <v>0.76388888888888884</v>
      </c>
      <c r="C239" t="s">
        <v>116</v>
      </c>
      <c r="D239">
        <v>100</v>
      </c>
      <c r="E239">
        <v>267.10000000000002</v>
      </c>
      <c r="F239" t="s">
        <v>117</v>
      </c>
      <c r="N239" s="7">
        <v>45390</v>
      </c>
      <c r="O239" t="s">
        <v>115</v>
      </c>
      <c r="P239" s="1">
        <v>0.75694444444444442</v>
      </c>
      <c r="Q239" t="s">
        <v>116</v>
      </c>
      <c r="R239">
        <v>0</v>
      </c>
      <c r="S239">
        <v>97.8</v>
      </c>
      <c r="T239" t="s">
        <v>117</v>
      </c>
    </row>
    <row r="240" spans="1:20" x14ac:dyDescent="0.3">
      <c r="A240" t="s">
        <v>115</v>
      </c>
      <c r="B240" s="8">
        <v>0.76736111111111116</v>
      </c>
      <c r="C240" t="s">
        <v>116</v>
      </c>
      <c r="D240">
        <v>100</v>
      </c>
      <c r="E240">
        <v>292.39999999999998</v>
      </c>
      <c r="F240" t="s">
        <v>117</v>
      </c>
      <c r="N240" s="7">
        <v>45390</v>
      </c>
      <c r="O240" t="s">
        <v>115</v>
      </c>
      <c r="P240" s="1">
        <v>0.76041666666666663</v>
      </c>
      <c r="Q240" t="s">
        <v>116</v>
      </c>
      <c r="R240">
        <v>100</v>
      </c>
      <c r="S240">
        <v>110</v>
      </c>
      <c r="T240" t="s">
        <v>117</v>
      </c>
    </row>
    <row r="241" spans="1:20" x14ac:dyDescent="0.3">
      <c r="A241" t="s">
        <v>115</v>
      </c>
      <c r="B241" s="8">
        <v>0.77083333333333337</v>
      </c>
      <c r="C241" t="s">
        <v>116</v>
      </c>
      <c r="D241">
        <v>100</v>
      </c>
      <c r="E241">
        <v>285.7</v>
      </c>
      <c r="F241" t="s">
        <v>117</v>
      </c>
      <c r="N241" s="7">
        <v>45390</v>
      </c>
      <c r="O241" t="s">
        <v>115</v>
      </c>
      <c r="P241" s="1">
        <v>0.76388888888888884</v>
      </c>
      <c r="Q241" t="s">
        <v>116</v>
      </c>
      <c r="R241">
        <v>100</v>
      </c>
      <c r="S241">
        <v>105.3</v>
      </c>
      <c r="T241" t="s">
        <v>117</v>
      </c>
    </row>
    <row r="242" spans="1:20" x14ac:dyDescent="0.3">
      <c r="A242" t="s">
        <v>115</v>
      </c>
      <c r="B242" s="8">
        <v>0.77430555555555558</v>
      </c>
      <c r="C242" t="s">
        <v>116</v>
      </c>
      <c r="D242">
        <v>100</v>
      </c>
      <c r="E242">
        <v>267.10000000000002</v>
      </c>
      <c r="F242" t="s">
        <v>117</v>
      </c>
      <c r="N242" s="7">
        <v>45390</v>
      </c>
      <c r="O242" t="s">
        <v>115</v>
      </c>
      <c r="P242" s="1">
        <v>0.76736111111111116</v>
      </c>
      <c r="Q242" t="s">
        <v>116</v>
      </c>
      <c r="R242">
        <v>100</v>
      </c>
      <c r="S242">
        <v>113.8</v>
      </c>
      <c r="T242" t="s">
        <v>117</v>
      </c>
    </row>
    <row r="243" spans="1:20" x14ac:dyDescent="0.3">
      <c r="A243" t="s">
        <v>115</v>
      </c>
      <c r="B243" s="8">
        <v>0.77777777777777779</v>
      </c>
      <c r="C243" t="s">
        <v>116</v>
      </c>
      <c r="D243">
        <v>100</v>
      </c>
      <c r="E243">
        <v>254.1</v>
      </c>
      <c r="F243" t="s">
        <v>117</v>
      </c>
      <c r="N243" s="7">
        <v>45390</v>
      </c>
      <c r="O243" t="s">
        <v>115</v>
      </c>
      <c r="P243" s="1">
        <v>0.77083333333333337</v>
      </c>
      <c r="Q243" t="s">
        <v>116</v>
      </c>
      <c r="R243">
        <v>100</v>
      </c>
      <c r="S243">
        <v>119.6</v>
      </c>
      <c r="T243" t="s">
        <v>117</v>
      </c>
    </row>
    <row r="244" spans="1:20" x14ac:dyDescent="0.3">
      <c r="A244" t="s">
        <v>115</v>
      </c>
      <c r="B244" s="8">
        <v>0.78125</v>
      </c>
      <c r="C244" t="s">
        <v>116</v>
      </c>
      <c r="D244">
        <v>100</v>
      </c>
      <c r="E244">
        <v>288.39999999999998</v>
      </c>
      <c r="F244" t="s">
        <v>117</v>
      </c>
      <c r="N244" s="7">
        <v>45390</v>
      </c>
      <c r="O244" t="s">
        <v>115</v>
      </c>
      <c r="P244" s="1">
        <v>0.77430555555555558</v>
      </c>
      <c r="Q244" t="s">
        <v>116</v>
      </c>
      <c r="R244">
        <v>100</v>
      </c>
      <c r="S244">
        <v>110</v>
      </c>
      <c r="T244" t="s">
        <v>117</v>
      </c>
    </row>
    <row r="245" spans="1:20" x14ac:dyDescent="0.3">
      <c r="A245" t="s">
        <v>115</v>
      </c>
      <c r="B245" s="8">
        <v>0.78472222222222221</v>
      </c>
      <c r="C245" t="s">
        <v>116</v>
      </c>
      <c r="D245">
        <v>100</v>
      </c>
      <c r="E245">
        <v>282</v>
      </c>
      <c r="F245" t="s">
        <v>117</v>
      </c>
      <c r="N245" s="7">
        <v>45390</v>
      </c>
      <c r="O245" t="s">
        <v>115</v>
      </c>
      <c r="P245" s="1">
        <v>0.77777777777777779</v>
      </c>
      <c r="Q245" t="s">
        <v>116</v>
      </c>
      <c r="R245">
        <v>100</v>
      </c>
      <c r="S245">
        <v>110</v>
      </c>
      <c r="T245" t="s">
        <v>117</v>
      </c>
    </row>
    <row r="246" spans="1:20" x14ac:dyDescent="0.3">
      <c r="A246" t="s">
        <v>115</v>
      </c>
      <c r="B246" s="8">
        <v>0.78819444444444442</v>
      </c>
      <c r="C246" t="s">
        <v>116</v>
      </c>
      <c r="D246">
        <v>100</v>
      </c>
      <c r="E246">
        <v>284</v>
      </c>
      <c r="F246" t="s">
        <v>117</v>
      </c>
      <c r="N246" s="7">
        <v>45390</v>
      </c>
      <c r="O246" t="s">
        <v>115</v>
      </c>
      <c r="P246" s="1">
        <v>0.78125</v>
      </c>
      <c r="Q246" t="s">
        <v>116</v>
      </c>
      <c r="R246">
        <v>100</v>
      </c>
      <c r="S246">
        <v>116.1</v>
      </c>
      <c r="T246" t="s">
        <v>117</v>
      </c>
    </row>
    <row r="247" spans="1:20" x14ac:dyDescent="0.3">
      <c r="A247" t="s">
        <v>115</v>
      </c>
      <c r="B247" s="8">
        <v>0.79166666666666663</v>
      </c>
      <c r="C247" t="s">
        <v>116</v>
      </c>
      <c r="D247">
        <v>100</v>
      </c>
      <c r="E247">
        <v>268</v>
      </c>
      <c r="F247" t="s">
        <v>117</v>
      </c>
      <c r="N247" s="7">
        <v>45390</v>
      </c>
      <c r="O247" t="s">
        <v>115</v>
      </c>
      <c r="P247" s="1">
        <v>0.78472222222222221</v>
      </c>
      <c r="Q247" t="s">
        <v>116</v>
      </c>
      <c r="R247">
        <v>100</v>
      </c>
      <c r="S247">
        <v>108.6</v>
      </c>
      <c r="T247" t="s">
        <v>117</v>
      </c>
    </row>
    <row r="248" spans="1:20" x14ac:dyDescent="0.3">
      <c r="A248" t="s">
        <v>115</v>
      </c>
      <c r="B248" s="8">
        <v>0.79513888888888884</v>
      </c>
      <c r="C248" t="s">
        <v>116</v>
      </c>
      <c r="D248">
        <v>100</v>
      </c>
      <c r="E248">
        <v>261.60000000000002</v>
      </c>
      <c r="F248" t="s">
        <v>117</v>
      </c>
      <c r="N248" s="7">
        <v>45390</v>
      </c>
      <c r="O248" t="s">
        <v>115</v>
      </c>
      <c r="P248" s="1">
        <v>0.78819444444444442</v>
      </c>
      <c r="Q248" t="s">
        <v>116</v>
      </c>
      <c r="R248">
        <v>100</v>
      </c>
      <c r="S248">
        <v>110</v>
      </c>
      <c r="T248" t="s">
        <v>117</v>
      </c>
    </row>
    <row r="249" spans="1:20" x14ac:dyDescent="0.3">
      <c r="A249" t="s">
        <v>115</v>
      </c>
      <c r="B249" s="8">
        <v>0.79861111111111116</v>
      </c>
      <c r="C249" t="s">
        <v>116</v>
      </c>
      <c r="D249">
        <v>100</v>
      </c>
      <c r="E249">
        <v>268</v>
      </c>
      <c r="F249" t="s">
        <v>117</v>
      </c>
      <c r="N249" s="7">
        <v>45390</v>
      </c>
      <c r="O249" t="s">
        <v>115</v>
      </c>
      <c r="P249" s="1">
        <v>0.79166666666666663</v>
      </c>
      <c r="Q249" t="s">
        <v>116</v>
      </c>
      <c r="R249">
        <v>100</v>
      </c>
      <c r="S249">
        <v>110</v>
      </c>
      <c r="T249" t="s">
        <v>117</v>
      </c>
    </row>
    <row r="250" spans="1:20" x14ac:dyDescent="0.3">
      <c r="A250" t="s">
        <v>115</v>
      </c>
      <c r="B250" s="8">
        <v>0.80208333333333337</v>
      </c>
      <c r="C250" t="s">
        <v>116</v>
      </c>
      <c r="D250">
        <v>100</v>
      </c>
      <c r="E250">
        <v>266.8</v>
      </c>
      <c r="F250" t="s">
        <v>117</v>
      </c>
      <c r="N250" s="7">
        <v>45390</v>
      </c>
      <c r="O250" t="s">
        <v>115</v>
      </c>
      <c r="P250" s="1">
        <v>0.79513888888888884</v>
      </c>
      <c r="Q250" t="s">
        <v>116</v>
      </c>
      <c r="R250">
        <v>100</v>
      </c>
      <c r="S250">
        <v>114.5</v>
      </c>
      <c r="T250" t="s">
        <v>117</v>
      </c>
    </row>
    <row r="251" spans="1:20" x14ac:dyDescent="0.3">
      <c r="A251" t="s">
        <v>115</v>
      </c>
      <c r="B251" s="8">
        <v>0.80555555555555558</v>
      </c>
      <c r="C251" t="s">
        <v>116</v>
      </c>
      <c r="D251">
        <v>100</v>
      </c>
      <c r="E251">
        <v>258.39999999999998</v>
      </c>
      <c r="F251" t="s">
        <v>117</v>
      </c>
      <c r="N251" s="7">
        <v>45390</v>
      </c>
      <c r="O251" t="s">
        <v>115</v>
      </c>
      <c r="P251" s="1">
        <v>0.79861111111111116</v>
      </c>
      <c r="Q251" t="s">
        <v>116</v>
      </c>
      <c r="R251">
        <v>100</v>
      </c>
      <c r="S251">
        <v>100.9</v>
      </c>
      <c r="T251" t="s">
        <v>117</v>
      </c>
    </row>
    <row r="252" spans="1:20" x14ac:dyDescent="0.3">
      <c r="A252" t="s">
        <v>115</v>
      </c>
      <c r="B252" s="8">
        <v>0.80902777777777779</v>
      </c>
      <c r="C252" t="s">
        <v>116</v>
      </c>
      <c r="D252">
        <v>100</v>
      </c>
      <c r="E252">
        <v>290.8</v>
      </c>
      <c r="F252" t="s">
        <v>117</v>
      </c>
      <c r="N252" s="7">
        <v>45390</v>
      </c>
      <c r="O252" t="s">
        <v>115</v>
      </c>
      <c r="P252" s="1">
        <v>0.80208333333333337</v>
      </c>
      <c r="Q252" t="s">
        <v>116</v>
      </c>
      <c r="R252">
        <v>100</v>
      </c>
      <c r="S252">
        <v>99.4</v>
      </c>
      <c r="T252" t="s">
        <v>117</v>
      </c>
    </row>
    <row r="253" spans="1:20" x14ac:dyDescent="0.3">
      <c r="A253" t="s">
        <v>115</v>
      </c>
      <c r="B253" s="8">
        <v>0.8125</v>
      </c>
      <c r="C253" t="s">
        <v>116</v>
      </c>
      <c r="D253">
        <v>100</v>
      </c>
      <c r="E253">
        <v>275.7</v>
      </c>
      <c r="F253" t="s">
        <v>117</v>
      </c>
      <c r="N253" s="7">
        <v>45390</v>
      </c>
      <c r="O253" t="s">
        <v>115</v>
      </c>
      <c r="P253" s="1">
        <v>0.80555555555555558</v>
      </c>
      <c r="Q253" t="s">
        <v>116</v>
      </c>
      <c r="R253">
        <v>100</v>
      </c>
      <c r="S253">
        <v>93.7</v>
      </c>
      <c r="T253" t="s">
        <v>117</v>
      </c>
    </row>
    <row r="254" spans="1:20" x14ac:dyDescent="0.3">
      <c r="A254" t="s">
        <v>115</v>
      </c>
      <c r="B254" s="8">
        <v>0.81597222222222221</v>
      </c>
      <c r="C254" t="s">
        <v>116</v>
      </c>
      <c r="D254">
        <v>100</v>
      </c>
      <c r="E254">
        <v>239.3</v>
      </c>
      <c r="F254" t="s">
        <v>117</v>
      </c>
      <c r="N254" s="7">
        <v>45390</v>
      </c>
      <c r="O254" t="s">
        <v>115</v>
      </c>
      <c r="P254" s="1">
        <v>0.80902777777777779</v>
      </c>
      <c r="Q254" t="s">
        <v>116</v>
      </c>
      <c r="R254">
        <v>100</v>
      </c>
      <c r="S254">
        <v>110</v>
      </c>
      <c r="T254" t="s">
        <v>117</v>
      </c>
    </row>
    <row r="255" spans="1:20" x14ac:dyDescent="0.3">
      <c r="A255" t="s">
        <v>115</v>
      </c>
      <c r="B255" s="8">
        <v>0.81944444444444442</v>
      </c>
      <c r="C255" t="s">
        <v>116</v>
      </c>
      <c r="D255">
        <v>100</v>
      </c>
      <c r="E255">
        <v>254.8</v>
      </c>
      <c r="F255" t="s">
        <v>117</v>
      </c>
      <c r="N255" s="7">
        <v>45390</v>
      </c>
      <c r="O255" t="s">
        <v>115</v>
      </c>
      <c r="P255" s="1">
        <v>0.8125</v>
      </c>
      <c r="Q255" t="s">
        <v>116</v>
      </c>
      <c r="R255">
        <v>100</v>
      </c>
      <c r="S255">
        <v>120.2</v>
      </c>
      <c r="T255" t="s">
        <v>117</v>
      </c>
    </row>
    <row r="256" spans="1:20" x14ac:dyDescent="0.3">
      <c r="A256" t="s">
        <v>115</v>
      </c>
      <c r="B256" s="8">
        <v>0.82291666666666663</v>
      </c>
      <c r="C256" t="s">
        <v>116</v>
      </c>
      <c r="D256">
        <v>70</v>
      </c>
      <c r="E256">
        <v>279</v>
      </c>
      <c r="F256" t="s">
        <v>117</v>
      </c>
      <c r="N256" s="7">
        <v>45390</v>
      </c>
      <c r="O256" t="s">
        <v>115</v>
      </c>
      <c r="P256" s="1">
        <v>0.81597222222222221</v>
      </c>
      <c r="Q256" t="s">
        <v>116</v>
      </c>
      <c r="R256">
        <v>100</v>
      </c>
      <c r="S256">
        <v>85.8</v>
      </c>
      <c r="T256" t="s">
        <v>117</v>
      </c>
    </row>
    <row r="257" spans="1:20" x14ac:dyDescent="0.3">
      <c r="A257" t="s">
        <v>115</v>
      </c>
      <c r="B257" s="8">
        <v>0.82638888888888884</v>
      </c>
      <c r="C257" t="s">
        <v>116</v>
      </c>
      <c r="D257">
        <v>100</v>
      </c>
      <c r="E257">
        <v>273.7</v>
      </c>
      <c r="F257" t="s">
        <v>117</v>
      </c>
      <c r="N257" s="7">
        <v>45390</v>
      </c>
      <c r="O257" t="s">
        <v>115</v>
      </c>
      <c r="P257" s="1">
        <v>0.81944444444444442</v>
      </c>
      <c r="Q257" t="s">
        <v>116</v>
      </c>
      <c r="R257">
        <v>100</v>
      </c>
      <c r="S257">
        <v>93.4</v>
      </c>
      <c r="T257" t="s">
        <v>117</v>
      </c>
    </row>
    <row r="258" spans="1:20" x14ac:dyDescent="0.3">
      <c r="A258" t="s">
        <v>115</v>
      </c>
      <c r="B258" s="8">
        <v>0.82986111111111116</v>
      </c>
      <c r="C258" t="s">
        <v>116</v>
      </c>
      <c r="D258">
        <v>70</v>
      </c>
      <c r="E258">
        <v>275.10000000000002</v>
      </c>
      <c r="F258" t="s">
        <v>117</v>
      </c>
      <c r="N258" s="7">
        <v>45390</v>
      </c>
      <c r="O258" t="s">
        <v>115</v>
      </c>
      <c r="P258" s="1">
        <v>0.82291666666666663</v>
      </c>
      <c r="Q258" t="s">
        <v>116</v>
      </c>
      <c r="R258">
        <v>70</v>
      </c>
      <c r="S258">
        <v>89.6</v>
      </c>
      <c r="T258" t="s">
        <v>117</v>
      </c>
    </row>
    <row r="259" spans="1:20" x14ac:dyDescent="0.3">
      <c r="A259" t="s">
        <v>115</v>
      </c>
      <c r="B259" s="8">
        <v>0.83333333333333337</v>
      </c>
      <c r="C259" t="s">
        <v>116</v>
      </c>
      <c r="D259">
        <v>100</v>
      </c>
      <c r="E259">
        <v>286.10000000000002</v>
      </c>
      <c r="F259" t="s">
        <v>117</v>
      </c>
      <c r="N259" s="7">
        <v>45390</v>
      </c>
      <c r="O259" t="s">
        <v>115</v>
      </c>
      <c r="P259" s="1">
        <v>0.82638888888888884</v>
      </c>
      <c r="Q259" t="s">
        <v>116</v>
      </c>
      <c r="R259">
        <v>100</v>
      </c>
      <c r="S259">
        <v>110</v>
      </c>
      <c r="T259" t="s">
        <v>117</v>
      </c>
    </row>
    <row r="260" spans="1:20" x14ac:dyDescent="0.3">
      <c r="A260" t="s">
        <v>115</v>
      </c>
      <c r="B260" s="8">
        <v>0.83680555555555558</v>
      </c>
      <c r="C260" t="s">
        <v>116</v>
      </c>
      <c r="D260">
        <v>100</v>
      </c>
      <c r="E260">
        <v>301.8</v>
      </c>
      <c r="F260" t="s">
        <v>117</v>
      </c>
      <c r="N260" s="7">
        <v>45390</v>
      </c>
      <c r="O260" t="s">
        <v>115</v>
      </c>
      <c r="P260" s="1">
        <v>0.82986111111111116</v>
      </c>
      <c r="Q260" t="s">
        <v>116</v>
      </c>
      <c r="R260">
        <v>70</v>
      </c>
      <c r="S260">
        <v>107.3</v>
      </c>
      <c r="T260" t="s">
        <v>117</v>
      </c>
    </row>
    <row r="261" spans="1:20" x14ac:dyDescent="0.3">
      <c r="A261" t="s">
        <v>115</v>
      </c>
      <c r="B261" s="8">
        <v>0.84027777777777779</v>
      </c>
      <c r="C261" t="s">
        <v>116</v>
      </c>
      <c r="D261">
        <v>100</v>
      </c>
      <c r="E261">
        <v>269.89999999999998</v>
      </c>
      <c r="F261" t="s">
        <v>117</v>
      </c>
      <c r="N261" s="7">
        <v>45390</v>
      </c>
      <c r="O261" t="s">
        <v>115</v>
      </c>
      <c r="P261" s="1">
        <v>0.83333333333333337</v>
      </c>
      <c r="Q261" t="s">
        <v>116</v>
      </c>
      <c r="R261">
        <v>100</v>
      </c>
      <c r="S261">
        <v>110</v>
      </c>
      <c r="T261" t="s">
        <v>117</v>
      </c>
    </row>
    <row r="262" spans="1:20" x14ac:dyDescent="0.3">
      <c r="A262" t="s">
        <v>115</v>
      </c>
      <c r="B262" s="8">
        <v>0.84375</v>
      </c>
      <c r="C262" t="s">
        <v>116</v>
      </c>
      <c r="D262">
        <v>100</v>
      </c>
      <c r="E262">
        <v>273.39999999999998</v>
      </c>
      <c r="F262" t="s">
        <v>117</v>
      </c>
      <c r="N262" s="7">
        <v>45390</v>
      </c>
      <c r="O262" t="s">
        <v>115</v>
      </c>
      <c r="P262" s="1">
        <v>0.83680555555555558</v>
      </c>
      <c r="Q262" t="s">
        <v>116</v>
      </c>
      <c r="R262">
        <v>100</v>
      </c>
      <c r="S262">
        <v>110</v>
      </c>
      <c r="T262" t="s">
        <v>117</v>
      </c>
    </row>
    <row r="263" spans="1:20" x14ac:dyDescent="0.3">
      <c r="A263" t="s">
        <v>115</v>
      </c>
      <c r="B263" s="8">
        <v>0.84722222222222221</v>
      </c>
      <c r="C263" t="s">
        <v>116</v>
      </c>
      <c r="D263">
        <v>100</v>
      </c>
      <c r="E263">
        <v>244.3</v>
      </c>
      <c r="F263" t="s">
        <v>117</v>
      </c>
      <c r="N263" s="7">
        <v>45390</v>
      </c>
      <c r="O263" t="s">
        <v>115</v>
      </c>
      <c r="P263" s="1">
        <v>0.84027777777777779</v>
      </c>
      <c r="Q263" t="s">
        <v>116</v>
      </c>
      <c r="R263">
        <v>100</v>
      </c>
      <c r="S263">
        <v>101.9</v>
      </c>
      <c r="T263" t="s">
        <v>117</v>
      </c>
    </row>
    <row r="264" spans="1:20" x14ac:dyDescent="0.3">
      <c r="A264" t="s">
        <v>115</v>
      </c>
      <c r="B264" s="8">
        <v>0.85069444444444442</v>
      </c>
      <c r="C264" t="s">
        <v>116</v>
      </c>
      <c r="D264">
        <v>100</v>
      </c>
      <c r="E264">
        <v>258</v>
      </c>
      <c r="F264" t="s">
        <v>117</v>
      </c>
      <c r="N264" s="7">
        <v>45390</v>
      </c>
      <c r="O264" t="s">
        <v>115</v>
      </c>
      <c r="P264" s="1">
        <v>0.84375</v>
      </c>
      <c r="Q264" t="s">
        <v>116</v>
      </c>
      <c r="R264">
        <v>100</v>
      </c>
      <c r="S264">
        <v>123.3</v>
      </c>
      <c r="T264" t="s">
        <v>117</v>
      </c>
    </row>
    <row r="265" spans="1:20" x14ac:dyDescent="0.3">
      <c r="A265" t="s">
        <v>115</v>
      </c>
      <c r="B265" s="8">
        <v>0.85416666666666663</v>
      </c>
      <c r="C265" t="s">
        <v>116</v>
      </c>
      <c r="D265">
        <v>100</v>
      </c>
      <c r="E265">
        <v>271.2</v>
      </c>
      <c r="F265" t="s">
        <v>117</v>
      </c>
      <c r="N265" s="7">
        <v>45390</v>
      </c>
      <c r="O265" t="s">
        <v>115</v>
      </c>
      <c r="P265" s="1">
        <v>0.84722222222222221</v>
      </c>
      <c r="Q265" t="s">
        <v>116</v>
      </c>
      <c r="R265">
        <v>100</v>
      </c>
      <c r="S265">
        <v>93.6</v>
      </c>
      <c r="T265" t="s">
        <v>117</v>
      </c>
    </row>
    <row r="266" spans="1:20" x14ac:dyDescent="0.3">
      <c r="A266" t="s">
        <v>115</v>
      </c>
      <c r="B266" s="8">
        <v>0.85763888888888884</v>
      </c>
      <c r="C266" t="s">
        <v>116</v>
      </c>
      <c r="D266">
        <v>100</v>
      </c>
      <c r="E266">
        <v>289.60000000000002</v>
      </c>
      <c r="F266" t="s">
        <v>117</v>
      </c>
      <c r="N266" s="7">
        <v>45390</v>
      </c>
      <c r="O266" t="s">
        <v>115</v>
      </c>
      <c r="P266" s="1">
        <v>0.85069444444444442</v>
      </c>
      <c r="Q266" t="s">
        <v>116</v>
      </c>
      <c r="R266">
        <v>100</v>
      </c>
      <c r="S266">
        <v>110</v>
      </c>
      <c r="T266" t="s">
        <v>117</v>
      </c>
    </row>
    <row r="267" spans="1:20" x14ac:dyDescent="0.3">
      <c r="A267" t="s">
        <v>115</v>
      </c>
      <c r="B267" s="8">
        <v>0.86111111111111116</v>
      </c>
      <c r="C267" t="s">
        <v>116</v>
      </c>
      <c r="D267">
        <v>70</v>
      </c>
      <c r="E267">
        <v>281.7</v>
      </c>
      <c r="F267" t="s">
        <v>117</v>
      </c>
      <c r="N267" s="7">
        <v>45390</v>
      </c>
      <c r="O267" t="s">
        <v>115</v>
      </c>
      <c r="P267" s="1">
        <v>0.85416666666666663</v>
      </c>
      <c r="Q267" t="s">
        <v>116</v>
      </c>
      <c r="R267">
        <v>100</v>
      </c>
      <c r="S267">
        <v>99.1</v>
      </c>
      <c r="T267" t="s">
        <v>117</v>
      </c>
    </row>
    <row r="268" spans="1:20" x14ac:dyDescent="0.3">
      <c r="A268" t="s">
        <v>115</v>
      </c>
      <c r="B268" s="8">
        <v>0.86458333333333337</v>
      </c>
      <c r="C268" t="s">
        <v>116</v>
      </c>
      <c r="D268">
        <v>70</v>
      </c>
      <c r="E268">
        <v>267.3</v>
      </c>
      <c r="F268" t="s">
        <v>117</v>
      </c>
      <c r="N268" s="7">
        <v>45390</v>
      </c>
      <c r="O268" t="s">
        <v>115</v>
      </c>
      <c r="P268" s="1">
        <v>0.85763888888888884</v>
      </c>
      <c r="Q268" t="s">
        <v>116</v>
      </c>
      <c r="R268">
        <v>100</v>
      </c>
      <c r="S268">
        <v>110</v>
      </c>
      <c r="T268" t="s">
        <v>117</v>
      </c>
    </row>
    <row r="269" spans="1:20" x14ac:dyDescent="0.3">
      <c r="A269" t="s">
        <v>115</v>
      </c>
      <c r="B269" s="8">
        <v>0.86805555555555558</v>
      </c>
      <c r="C269" t="s">
        <v>116</v>
      </c>
      <c r="D269">
        <v>100</v>
      </c>
      <c r="E269">
        <v>260.8</v>
      </c>
      <c r="F269" t="s">
        <v>117</v>
      </c>
      <c r="N269" s="7">
        <v>45390</v>
      </c>
      <c r="O269" t="s">
        <v>115</v>
      </c>
      <c r="P269" s="1">
        <v>0.86111111111111116</v>
      </c>
      <c r="Q269" t="s">
        <v>116</v>
      </c>
      <c r="R269">
        <v>70</v>
      </c>
      <c r="S269">
        <v>105.3</v>
      </c>
      <c r="T269" t="s">
        <v>117</v>
      </c>
    </row>
    <row r="270" spans="1:20" x14ac:dyDescent="0.3">
      <c r="A270" t="s">
        <v>115</v>
      </c>
      <c r="B270" s="8">
        <v>0.87152777777777779</v>
      </c>
      <c r="C270" t="s">
        <v>116</v>
      </c>
      <c r="D270">
        <v>70</v>
      </c>
      <c r="E270">
        <v>260.10000000000002</v>
      </c>
      <c r="F270" t="s">
        <v>117</v>
      </c>
      <c r="N270" s="7">
        <v>45390</v>
      </c>
      <c r="O270" t="s">
        <v>115</v>
      </c>
      <c r="P270" s="1">
        <v>0.86458333333333337</v>
      </c>
      <c r="Q270" t="s">
        <v>116</v>
      </c>
      <c r="R270">
        <v>70</v>
      </c>
      <c r="S270">
        <v>95.5</v>
      </c>
      <c r="T270" t="s">
        <v>117</v>
      </c>
    </row>
    <row r="271" spans="1:20" x14ac:dyDescent="0.3">
      <c r="A271" t="s">
        <v>115</v>
      </c>
      <c r="B271" s="8">
        <v>0.875</v>
      </c>
      <c r="C271" t="s">
        <v>116</v>
      </c>
      <c r="D271">
        <v>70</v>
      </c>
      <c r="E271">
        <v>245.2</v>
      </c>
      <c r="F271" t="s">
        <v>117</v>
      </c>
      <c r="N271" s="7">
        <v>45390</v>
      </c>
      <c r="O271" t="s">
        <v>115</v>
      </c>
      <c r="P271" s="1">
        <v>0.86805555555555558</v>
      </c>
      <c r="Q271" t="s">
        <v>116</v>
      </c>
      <c r="R271">
        <v>100</v>
      </c>
      <c r="S271">
        <v>118.5</v>
      </c>
      <c r="T271" t="s">
        <v>117</v>
      </c>
    </row>
    <row r="272" spans="1:20" x14ac:dyDescent="0.3">
      <c r="A272" t="s">
        <v>115</v>
      </c>
      <c r="B272" s="8">
        <v>0.87847222222222221</v>
      </c>
      <c r="C272" t="s">
        <v>116</v>
      </c>
      <c r="D272">
        <v>100</v>
      </c>
      <c r="E272">
        <v>280.60000000000002</v>
      </c>
      <c r="F272" t="s">
        <v>117</v>
      </c>
      <c r="N272" s="7">
        <v>45390</v>
      </c>
      <c r="O272" t="s">
        <v>115</v>
      </c>
      <c r="P272" s="1">
        <v>0.87152777777777779</v>
      </c>
      <c r="Q272" t="s">
        <v>116</v>
      </c>
      <c r="R272">
        <v>70</v>
      </c>
      <c r="S272">
        <v>95.6</v>
      </c>
      <c r="T272" t="s">
        <v>117</v>
      </c>
    </row>
    <row r="273" spans="1:20" x14ac:dyDescent="0.3">
      <c r="A273" t="s">
        <v>115</v>
      </c>
      <c r="B273" s="8">
        <v>0.88194444444444442</v>
      </c>
      <c r="C273" t="s">
        <v>116</v>
      </c>
      <c r="D273">
        <v>100</v>
      </c>
      <c r="E273">
        <v>281.89999999999998</v>
      </c>
      <c r="F273" t="s">
        <v>117</v>
      </c>
      <c r="N273" s="7">
        <v>45390</v>
      </c>
      <c r="O273" t="s">
        <v>115</v>
      </c>
      <c r="P273" s="1">
        <v>0.875</v>
      </c>
      <c r="Q273" t="s">
        <v>116</v>
      </c>
      <c r="R273">
        <v>70</v>
      </c>
      <c r="S273">
        <v>110</v>
      </c>
      <c r="T273" t="s">
        <v>117</v>
      </c>
    </row>
    <row r="274" spans="1:20" x14ac:dyDescent="0.3">
      <c r="A274" t="s">
        <v>115</v>
      </c>
      <c r="B274" s="8">
        <v>0.88541666666666663</v>
      </c>
      <c r="C274" t="s">
        <v>116</v>
      </c>
      <c r="D274">
        <v>100</v>
      </c>
      <c r="E274">
        <v>265.89999999999998</v>
      </c>
      <c r="F274" t="s">
        <v>117</v>
      </c>
      <c r="N274" s="7">
        <v>45390</v>
      </c>
      <c r="O274" t="s">
        <v>115</v>
      </c>
      <c r="P274" s="1">
        <v>0.87847222222222221</v>
      </c>
      <c r="Q274" t="s">
        <v>116</v>
      </c>
      <c r="R274">
        <v>100</v>
      </c>
      <c r="S274">
        <v>110</v>
      </c>
      <c r="T274" t="s">
        <v>117</v>
      </c>
    </row>
    <row r="275" spans="1:20" x14ac:dyDescent="0.3">
      <c r="A275" t="s">
        <v>115</v>
      </c>
      <c r="B275" s="8">
        <v>0.88888888888888884</v>
      </c>
      <c r="C275" t="s">
        <v>116</v>
      </c>
      <c r="D275">
        <v>70</v>
      </c>
      <c r="E275">
        <v>254.6</v>
      </c>
      <c r="F275" t="s">
        <v>117</v>
      </c>
      <c r="N275" s="7">
        <v>45390</v>
      </c>
      <c r="O275" t="s">
        <v>115</v>
      </c>
      <c r="P275" s="1">
        <v>0.88194444444444442</v>
      </c>
      <c r="Q275" t="s">
        <v>116</v>
      </c>
      <c r="R275">
        <v>100</v>
      </c>
      <c r="S275">
        <v>108.6</v>
      </c>
      <c r="T275" t="s">
        <v>117</v>
      </c>
    </row>
    <row r="276" spans="1:20" x14ac:dyDescent="0.3">
      <c r="A276" t="s">
        <v>115</v>
      </c>
      <c r="B276" s="8">
        <v>0.89236111111111116</v>
      </c>
      <c r="C276" t="s">
        <v>116</v>
      </c>
      <c r="D276">
        <v>100</v>
      </c>
      <c r="E276">
        <v>244.2</v>
      </c>
      <c r="F276" t="s">
        <v>117</v>
      </c>
      <c r="N276" s="7">
        <v>45390</v>
      </c>
      <c r="O276" t="s">
        <v>115</v>
      </c>
      <c r="P276" s="1">
        <v>0.88541666666666663</v>
      </c>
      <c r="Q276" t="s">
        <v>116</v>
      </c>
      <c r="R276">
        <v>100</v>
      </c>
      <c r="S276">
        <v>101.6</v>
      </c>
      <c r="T276" t="s">
        <v>117</v>
      </c>
    </row>
    <row r="277" spans="1:20" x14ac:dyDescent="0.3">
      <c r="A277" t="s">
        <v>115</v>
      </c>
      <c r="B277" s="8">
        <v>0.89583333333333337</v>
      </c>
      <c r="C277" t="s">
        <v>116</v>
      </c>
      <c r="D277">
        <v>100</v>
      </c>
      <c r="E277">
        <v>278.2</v>
      </c>
      <c r="F277" t="s">
        <v>117</v>
      </c>
      <c r="N277" s="7">
        <v>45390</v>
      </c>
      <c r="O277" t="s">
        <v>115</v>
      </c>
      <c r="P277" s="1">
        <v>0.88888888888888884</v>
      </c>
      <c r="Q277" t="s">
        <v>116</v>
      </c>
      <c r="R277">
        <v>70</v>
      </c>
      <c r="S277">
        <v>93.3</v>
      </c>
      <c r="T277" t="s">
        <v>117</v>
      </c>
    </row>
    <row r="278" spans="1:20" x14ac:dyDescent="0.3">
      <c r="A278" t="s">
        <v>115</v>
      </c>
      <c r="B278" s="8">
        <v>0.89930555555555558</v>
      </c>
      <c r="C278" t="s">
        <v>116</v>
      </c>
      <c r="D278">
        <v>100</v>
      </c>
      <c r="E278">
        <v>238.4</v>
      </c>
      <c r="F278" t="s">
        <v>117</v>
      </c>
      <c r="N278" s="7">
        <v>45390</v>
      </c>
      <c r="O278" t="s">
        <v>115</v>
      </c>
      <c r="P278" s="1">
        <v>0.89236111111111116</v>
      </c>
      <c r="Q278" t="s">
        <v>116</v>
      </c>
      <c r="R278">
        <v>100</v>
      </c>
      <c r="S278">
        <v>102.5</v>
      </c>
      <c r="T278" t="s">
        <v>117</v>
      </c>
    </row>
    <row r="279" spans="1:20" x14ac:dyDescent="0.3">
      <c r="A279" t="s">
        <v>115</v>
      </c>
      <c r="B279" s="8">
        <v>0.90277777777777779</v>
      </c>
      <c r="C279" t="s">
        <v>116</v>
      </c>
      <c r="D279">
        <v>100</v>
      </c>
      <c r="E279">
        <v>264.10000000000002</v>
      </c>
      <c r="F279" t="s">
        <v>117</v>
      </c>
      <c r="N279" s="7">
        <v>45390</v>
      </c>
      <c r="O279" t="s">
        <v>115</v>
      </c>
      <c r="P279" s="1">
        <v>0.89583333333333337</v>
      </c>
      <c r="Q279" t="s">
        <v>116</v>
      </c>
      <c r="R279">
        <v>100</v>
      </c>
      <c r="S279">
        <v>110</v>
      </c>
      <c r="T279" t="s">
        <v>117</v>
      </c>
    </row>
    <row r="280" spans="1:20" x14ac:dyDescent="0.3">
      <c r="A280" t="s">
        <v>115</v>
      </c>
      <c r="B280" s="8">
        <v>0.90625</v>
      </c>
      <c r="C280" t="s">
        <v>116</v>
      </c>
      <c r="D280">
        <v>100</v>
      </c>
      <c r="E280">
        <v>261.39999999999998</v>
      </c>
      <c r="F280" t="s">
        <v>117</v>
      </c>
      <c r="N280" s="7">
        <v>45390</v>
      </c>
      <c r="O280" t="s">
        <v>115</v>
      </c>
      <c r="P280" s="1">
        <v>0.89930555555555558</v>
      </c>
      <c r="Q280" t="s">
        <v>116</v>
      </c>
      <c r="R280">
        <v>100</v>
      </c>
      <c r="S280">
        <v>85.7</v>
      </c>
      <c r="T280" t="s">
        <v>117</v>
      </c>
    </row>
    <row r="281" spans="1:20" x14ac:dyDescent="0.3">
      <c r="A281" t="s">
        <v>115</v>
      </c>
      <c r="B281" s="8">
        <v>0.90972222222222221</v>
      </c>
      <c r="C281" t="s">
        <v>116</v>
      </c>
      <c r="D281">
        <v>100</v>
      </c>
      <c r="E281">
        <v>262</v>
      </c>
      <c r="F281" t="s">
        <v>117</v>
      </c>
      <c r="N281" s="7">
        <v>45390</v>
      </c>
      <c r="O281" t="s">
        <v>115</v>
      </c>
      <c r="P281" s="1">
        <v>0.90277777777777779</v>
      </c>
      <c r="Q281" t="s">
        <v>116</v>
      </c>
      <c r="R281">
        <v>100</v>
      </c>
      <c r="S281">
        <v>102.8</v>
      </c>
      <c r="T281" t="s">
        <v>117</v>
      </c>
    </row>
    <row r="282" spans="1:20" x14ac:dyDescent="0.3">
      <c r="A282" t="s">
        <v>115</v>
      </c>
      <c r="B282" s="8">
        <v>0.91319444444444442</v>
      </c>
      <c r="C282" t="s">
        <v>116</v>
      </c>
      <c r="D282">
        <v>100</v>
      </c>
      <c r="E282">
        <v>270.39999999999998</v>
      </c>
      <c r="F282" t="s">
        <v>117</v>
      </c>
      <c r="N282" s="7">
        <v>45390</v>
      </c>
      <c r="O282" t="s">
        <v>115</v>
      </c>
      <c r="P282" s="1">
        <v>0.90625</v>
      </c>
      <c r="Q282" t="s">
        <v>116</v>
      </c>
      <c r="R282">
        <v>100</v>
      </c>
      <c r="S282">
        <v>106.6</v>
      </c>
      <c r="T282" t="s">
        <v>117</v>
      </c>
    </row>
    <row r="283" spans="1:20" x14ac:dyDescent="0.3">
      <c r="A283" t="s">
        <v>115</v>
      </c>
      <c r="B283" s="8">
        <v>0.91666666666666663</v>
      </c>
      <c r="C283" t="s">
        <v>116</v>
      </c>
      <c r="D283">
        <v>100</v>
      </c>
      <c r="E283">
        <v>267.89999999999998</v>
      </c>
      <c r="F283" t="s">
        <v>117</v>
      </c>
      <c r="N283" s="7">
        <v>45390</v>
      </c>
      <c r="O283" t="s">
        <v>115</v>
      </c>
      <c r="P283" s="1">
        <v>0.90972222222222221</v>
      </c>
      <c r="Q283" t="s">
        <v>116</v>
      </c>
      <c r="R283">
        <v>100</v>
      </c>
      <c r="S283">
        <v>110</v>
      </c>
      <c r="T283" t="s">
        <v>117</v>
      </c>
    </row>
    <row r="284" spans="1:20" x14ac:dyDescent="0.3">
      <c r="A284" t="s">
        <v>115</v>
      </c>
      <c r="B284" s="8">
        <v>0.92013888888888884</v>
      </c>
      <c r="C284" t="s">
        <v>116</v>
      </c>
      <c r="D284">
        <v>70</v>
      </c>
      <c r="E284">
        <v>279.10000000000002</v>
      </c>
      <c r="F284" t="s">
        <v>117</v>
      </c>
      <c r="N284" s="7">
        <v>45390</v>
      </c>
      <c r="O284" t="s">
        <v>115</v>
      </c>
      <c r="P284" s="1">
        <v>0.91319444444444442</v>
      </c>
      <c r="Q284" t="s">
        <v>116</v>
      </c>
      <c r="R284">
        <v>100</v>
      </c>
      <c r="S284">
        <v>90</v>
      </c>
      <c r="T284" t="s">
        <v>117</v>
      </c>
    </row>
    <row r="285" spans="1:20" x14ac:dyDescent="0.3">
      <c r="A285" t="s">
        <v>115</v>
      </c>
      <c r="B285" s="8">
        <v>0.92361111111111116</v>
      </c>
      <c r="C285" t="s">
        <v>116</v>
      </c>
      <c r="D285">
        <v>100</v>
      </c>
      <c r="E285">
        <v>285.3</v>
      </c>
      <c r="F285" t="s">
        <v>117</v>
      </c>
      <c r="N285" s="7">
        <v>45390</v>
      </c>
      <c r="O285" t="s">
        <v>115</v>
      </c>
      <c r="P285" s="1">
        <v>0.91666666666666663</v>
      </c>
      <c r="Q285" t="s">
        <v>116</v>
      </c>
      <c r="R285">
        <v>100</v>
      </c>
      <c r="S285">
        <v>110</v>
      </c>
      <c r="T285" t="s">
        <v>117</v>
      </c>
    </row>
    <row r="286" spans="1:20" x14ac:dyDescent="0.3">
      <c r="A286" t="s">
        <v>115</v>
      </c>
      <c r="B286" s="8">
        <v>0.92708333333333337</v>
      </c>
      <c r="C286" t="s">
        <v>116</v>
      </c>
      <c r="D286">
        <v>100</v>
      </c>
      <c r="E286">
        <v>254.1</v>
      </c>
      <c r="F286" t="s">
        <v>117</v>
      </c>
      <c r="N286" s="7">
        <v>45390</v>
      </c>
      <c r="O286" t="s">
        <v>115</v>
      </c>
      <c r="P286" s="1">
        <v>0.92013888888888884</v>
      </c>
      <c r="Q286" t="s">
        <v>116</v>
      </c>
      <c r="R286">
        <v>70</v>
      </c>
      <c r="S286">
        <v>101.1</v>
      </c>
      <c r="T286" t="s">
        <v>117</v>
      </c>
    </row>
    <row r="287" spans="1:20" x14ac:dyDescent="0.3">
      <c r="A287" t="s">
        <v>115</v>
      </c>
      <c r="B287" s="8">
        <v>0.93055555555555558</v>
      </c>
      <c r="C287" t="s">
        <v>116</v>
      </c>
      <c r="D287">
        <v>100</v>
      </c>
      <c r="E287">
        <v>261.3</v>
      </c>
      <c r="F287" t="s">
        <v>117</v>
      </c>
      <c r="N287" s="7">
        <v>45390</v>
      </c>
      <c r="O287" t="s">
        <v>115</v>
      </c>
      <c r="P287" s="1">
        <v>0.92361111111111116</v>
      </c>
      <c r="Q287" t="s">
        <v>116</v>
      </c>
      <c r="R287">
        <v>100</v>
      </c>
      <c r="S287">
        <v>108.6</v>
      </c>
      <c r="T287" t="s">
        <v>117</v>
      </c>
    </row>
    <row r="288" spans="1:20" x14ac:dyDescent="0.3">
      <c r="A288" t="s">
        <v>115</v>
      </c>
      <c r="B288" s="8">
        <v>0.93402777777777779</v>
      </c>
      <c r="C288" t="s">
        <v>116</v>
      </c>
      <c r="D288">
        <v>100</v>
      </c>
      <c r="E288">
        <v>245.1</v>
      </c>
      <c r="F288" t="s">
        <v>117</v>
      </c>
      <c r="N288" s="7">
        <v>45390</v>
      </c>
      <c r="O288" t="s">
        <v>115</v>
      </c>
      <c r="P288" s="1">
        <v>0.92708333333333337</v>
      </c>
      <c r="Q288" t="s">
        <v>116</v>
      </c>
      <c r="R288">
        <v>100</v>
      </c>
      <c r="S288">
        <v>108.4</v>
      </c>
      <c r="T288" t="s">
        <v>117</v>
      </c>
    </row>
    <row r="289" spans="1:20" x14ac:dyDescent="0.3">
      <c r="A289" t="s">
        <v>115</v>
      </c>
      <c r="B289" s="8">
        <v>0.9375</v>
      </c>
      <c r="C289" t="s">
        <v>116</v>
      </c>
      <c r="D289">
        <v>100</v>
      </c>
      <c r="E289">
        <v>271.10000000000002</v>
      </c>
      <c r="F289" t="s">
        <v>117</v>
      </c>
      <c r="N289" s="7">
        <v>45390</v>
      </c>
      <c r="O289" t="s">
        <v>115</v>
      </c>
      <c r="P289" s="1">
        <v>0.93055555555555558</v>
      </c>
      <c r="Q289" t="s">
        <v>116</v>
      </c>
      <c r="R289">
        <v>100</v>
      </c>
      <c r="S289">
        <v>98.4</v>
      </c>
      <c r="T289" t="s">
        <v>117</v>
      </c>
    </row>
    <row r="290" spans="1:20" x14ac:dyDescent="0.3">
      <c r="A290" t="s">
        <v>115</v>
      </c>
      <c r="B290" s="8">
        <v>0.94097222222222221</v>
      </c>
      <c r="C290" t="s">
        <v>116</v>
      </c>
      <c r="D290">
        <v>100</v>
      </c>
      <c r="E290">
        <v>255.9</v>
      </c>
      <c r="F290" t="s">
        <v>117</v>
      </c>
      <c r="N290" s="7">
        <v>45390</v>
      </c>
      <c r="O290" t="s">
        <v>115</v>
      </c>
      <c r="P290" s="1">
        <v>0.93402777777777779</v>
      </c>
      <c r="Q290" t="s">
        <v>116</v>
      </c>
      <c r="R290">
        <v>100</v>
      </c>
      <c r="S290">
        <v>93.7</v>
      </c>
      <c r="T290" t="s">
        <v>117</v>
      </c>
    </row>
    <row r="291" spans="1:20" x14ac:dyDescent="0.3">
      <c r="A291" t="s">
        <v>115</v>
      </c>
      <c r="B291" s="8">
        <v>0.94444444444444442</v>
      </c>
      <c r="C291" t="s">
        <v>116</v>
      </c>
      <c r="D291">
        <v>70</v>
      </c>
      <c r="E291">
        <v>268.60000000000002</v>
      </c>
      <c r="F291" t="s">
        <v>117</v>
      </c>
      <c r="N291" s="7">
        <v>45390</v>
      </c>
      <c r="O291" t="s">
        <v>115</v>
      </c>
      <c r="P291" s="1">
        <v>0.9375</v>
      </c>
      <c r="Q291" t="s">
        <v>116</v>
      </c>
      <c r="R291">
        <v>100</v>
      </c>
      <c r="S291">
        <v>94.3</v>
      </c>
      <c r="T291" t="s">
        <v>117</v>
      </c>
    </row>
    <row r="292" spans="1:20" x14ac:dyDescent="0.3">
      <c r="A292" t="s">
        <v>115</v>
      </c>
      <c r="B292" s="8">
        <v>0.94791666666666663</v>
      </c>
      <c r="C292" t="s">
        <v>116</v>
      </c>
      <c r="D292">
        <v>100</v>
      </c>
      <c r="E292">
        <v>260</v>
      </c>
      <c r="F292" t="s">
        <v>117</v>
      </c>
      <c r="N292" s="7">
        <v>45390</v>
      </c>
      <c r="O292" t="s">
        <v>115</v>
      </c>
      <c r="P292" s="1">
        <v>0.94097222222222221</v>
      </c>
      <c r="Q292" t="s">
        <v>116</v>
      </c>
      <c r="R292">
        <v>100</v>
      </c>
      <c r="S292">
        <v>110</v>
      </c>
      <c r="T292" t="s">
        <v>117</v>
      </c>
    </row>
    <row r="293" spans="1:20" x14ac:dyDescent="0.3">
      <c r="A293" t="s">
        <v>115</v>
      </c>
      <c r="B293" s="8">
        <v>0.95138888888888884</v>
      </c>
      <c r="C293" t="s">
        <v>116</v>
      </c>
      <c r="D293">
        <v>100</v>
      </c>
      <c r="E293">
        <v>274.8</v>
      </c>
      <c r="F293" t="s">
        <v>117</v>
      </c>
      <c r="N293" s="7">
        <v>45390</v>
      </c>
      <c r="O293" t="s">
        <v>115</v>
      </c>
      <c r="P293" s="1">
        <v>0.94444444444444442</v>
      </c>
      <c r="Q293" t="s">
        <v>116</v>
      </c>
      <c r="R293">
        <v>70</v>
      </c>
      <c r="S293">
        <v>97.4</v>
      </c>
      <c r="T293" t="s">
        <v>117</v>
      </c>
    </row>
    <row r="294" spans="1:20" x14ac:dyDescent="0.3">
      <c r="A294" t="s">
        <v>115</v>
      </c>
      <c r="B294" s="8">
        <v>0.95486111111111116</v>
      </c>
      <c r="C294" t="s">
        <v>116</v>
      </c>
      <c r="D294">
        <v>100</v>
      </c>
      <c r="E294">
        <v>279.3</v>
      </c>
      <c r="F294" t="s">
        <v>117</v>
      </c>
      <c r="N294" s="7">
        <v>45390</v>
      </c>
      <c r="O294" t="s">
        <v>115</v>
      </c>
      <c r="P294" s="1">
        <v>0.94791666666666663</v>
      </c>
      <c r="Q294" t="s">
        <v>116</v>
      </c>
      <c r="R294">
        <v>100</v>
      </c>
      <c r="S294">
        <v>101.9</v>
      </c>
      <c r="T294" t="s">
        <v>117</v>
      </c>
    </row>
    <row r="295" spans="1:20" x14ac:dyDescent="0.3">
      <c r="A295" t="s">
        <v>115</v>
      </c>
      <c r="B295" s="8">
        <v>0.95833333333333337</v>
      </c>
      <c r="C295" t="s">
        <v>116</v>
      </c>
      <c r="D295">
        <v>100</v>
      </c>
      <c r="E295">
        <v>278.3</v>
      </c>
      <c r="F295" t="s">
        <v>117</v>
      </c>
      <c r="N295" s="7">
        <v>45390</v>
      </c>
      <c r="O295" t="s">
        <v>115</v>
      </c>
      <c r="P295" s="1">
        <v>0.95138888888888884</v>
      </c>
      <c r="Q295" t="s">
        <v>116</v>
      </c>
      <c r="R295">
        <v>100</v>
      </c>
      <c r="S295">
        <v>110</v>
      </c>
      <c r="T295" t="s">
        <v>117</v>
      </c>
    </row>
    <row r="296" spans="1:20" x14ac:dyDescent="0.3">
      <c r="A296" t="s">
        <v>115</v>
      </c>
      <c r="B296" s="8">
        <v>0.96180555555555558</v>
      </c>
      <c r="C296" t="s">
        <v>116</v>
      </c>
      <c r="D296">
        <v>100</v>
      </c>
      <c r="E296">
        <v>284.7</v>
      </c>
      <c r="F296" t="s">
        <v>117</v>
      </c>
      <c r="N296" s="7">
        <v>45390</v>
      </c>
      <c r="O296" t="s">
        <v>115</v>
      </c>
      <c r="P296" s="1">
        <v>0.95486111111111116</v>
      </c>
      <c r="Q296" t="s">
        <v>116</v>
      </c>
      <c r="R296">
        <v>100</v>
      </c>
      <c r="S296">
        <v>110</v>
      </c>
      <c r="T296" t="s">
        <v>117</v>
      </c>
    </row>
    <row r="297" spans="1:20" x14ac:dyDescent="0.3">
      <c r="A297" t="s">
        <v>115</v>
      </c>
      <c r="B297" s="8">
        <v>0.96527777777777779</v>
      </c>
      <c r="C297" t="s">
        <v>116</v>
      </c>
      <c r="D297">
        <v>100</v>
      </c>
      <c r="E297">
        <v>266.60000000000002</v>
      </c>
      <c r="F297" t="s">
        <v>117</v>
      </c>
      <c r="N297" s="7">
        <v>45390</v>
      </c>
      <c r="O297" t="s">
        <v>115</v>
      </c>
      <c r="P297" s="1">
        <v>0.95833333333333337</v>
      </c>
      <c r="Q297" t="s">
        <v>116</v>
      </c>
      <c r="R297">
        <v>100</v>
      </c>
      <c r="S297">
        <v>98.7</v>
      </c>
      <c r="T297" t="s">
        <v>117</v>
      </c>
    </row>
    <row r="298" spans="1:20" x14ac:dyDescent="0.3">
      <c r="A298" t="s">
        <v>115</v>
      </c>
      <c r="B298" s="8">
        <v>0.96875</v>
      </c>
      <c r="C298" t="s">
        <v>116</v>
      </c>
      <c r="D298">
        <v>100</v>
      </c>
      <c r="E298">
        <v>263.2</v>
      </c>
      <c r="F298" t="s">
        <v>117</v>
      </c>
      <c r="N298" s="7">
        <v>45390</v>
      </c>
      <c r="O298" t="s">
        <v>115</v>
      </c>
      <c r="P298" s="1">
        <v>0.96180555555555558</v>
      </c>
      <c r="Q298" t="s">
        <v>116</v>
      </c>
      <c r="R298">
        <v>100</v>
      </c>
      <c r="S298">
        <v>110</v>
      </c>
      <c r="T298" t="s">
        <v>117</v>
      </c>
    </row>
    <row r="299" spans="1:20" x14ac:dyDescent="0.3">
      <c r="A299" t="s">
        <v>115</v>
      </c>
      <c r="B299" s="8">
        <v>0.97222222222222221</v>
      </c>
      <c r="C299" t="s">
        <v>116</v>
      </c>
      <c r="D299">
        <v>100</v>
      </c>
      <c r="E299">
        <v>269.2</v>
      </c>
      <c r="F299" t="s">
        <v>117</v>
      </c>
      <c r="N299" s="7">
        <v>45390</v>
      </c>
      <c r="O299" t="s">
        <v>115</v>
      </c>
      <c r="P299" s="1">
        <v>0.96527777777777779</v>
      </c>
      <c r="Q299" t="s">
        <v>116</v>
      </c>
      <c r="R299">
        <v>100</v>
      </c>
      <c r="S299">
        <v>102.1</v>
      </c>
      <c r="T299" t="s">
        <v>117</v>
      </c>
    </row>
    <row r="300" spans="1:20" x14ac:dyDescent="0.3">
      <c r="A300" t="s">
        <v>115</v>
      </c>
      <c r="B300" s="8">
        <v>0.97569444444444442</v>
      </c>
      <c r="C300" t="s">
        <v>116</v>
      </c>
      <c r="D300">
        <v>100</v>
      </c>
      <c r="E300">
        <v>265.60000000000002</v>
      </c>
      <c r="F300" t="s">
        <v>117</v>
      </c>
      <c r="N300" s="7">
        <v>45390</v>
      </c>
      <c r="O300" t="s">
        <v>115</v>
      </c>
      <c r="P300" s="1">
        <v>0.96875</v>
      </c>
      <c r="Q300" t="s">
        <v>116</v>
      </c>
      <c r="R300">
        <v>100</v>
      </c>
      <c r="S300">
        <v>93.8</v>
      </c>
      <c r="T300" t="s">
        <v>117</v>
      </c>
    </row>
    <row r="301" spans="1:20" x14ac:dyDescent="0.3">
      <c r="A301" t="s">
        <v>115</v>
      </c>
      <c r="B301" s="8">
        <v>0.97916666666666663</v>
      </c>
      <c r="C301" t="s">
        <v>116</v>
      </c>
      <c r="D301">
        <v>100</v>
      </c>
      <c r="E301">
        <v>277.2</v>
      </c>
      <c r="F301" t="s">
        <v>117</v>
      </c>
      <c r="N301" s="7">
        <v>45390</v>
      </c>
      <c r="O301" t="s">
        <v>115</v>
      </c>
      <c r="P301" s="1">
        <v>0.97222222222222221</v>
      </c>
      <c r="Q301" t="s">
        <v>116</v>
      </c>
      <c r="R301">
        <v>100</v>
      </c>
      <c r="S301">
        <v>99.9</v>
      </c>
      <c r="T301" t="s">
        <v>117</v>
      </c>
    </row>
    <row r="302" spans="1:20" x14ac:dyDescent="0.3">
      <c r="A302" t="s">
        <v>115</v>
      </c>
      <c r="B302" s="8">
        <v>0.98263888888888884</v>
      </c>
      <c r="C302" t="s">
        <v>116</v>
      </c>
      <c r="D302">
        <v>100</v>
      </c>
      <c r="E302">
        <v>249</v>
      </c>
      <c r="F302" t="s">
        <v>117</v>
      </c>
      <c r="N302" s="7">
        <v>45390</v>
      </c>
      <c r="O302" t="s">
        <v>115</v>
      </c>
      <c r="P302" s="1">
        <v>0.97569444444444442</v>
      </c>
      <c r="Q302" t="s">
        <v>116</v>
      </c>
      <c r="R302">
        <v>100</v>
      </c>
      <c r="S302">
        <v>106.5</v>
      </c>
      <c r="T302" t="s">
        <v>117</v>
      </c>
    </row>
    <row r="303" spans="1:20" x14ac:dyDescent="0.3">
      <c r="A303" t="s">
        <v>115</v>
      </c>
      <c r="B303" s="8">
        <v>0.98611111111111116</v>
      </c>
      <c r="C303" t="s">
        <v>116</v>
      </c>
      <c r="D303">
        <v>100</v>
      </c>
      <c r="E303">
        <v>264.8</v>
      </c>
      <c r="F303" t="s">
        <v>117</v>
      </c>
      <c r="N303" s="7">
        <v>45390</v>
      </c>
      <c r="O303" t="s">
        <v>115</v>
      </c>
      <c r="P303" s="1">
        <v>0.97916666666666663</v>
      </c>
      <c r="Q303" t="s">
        <v>116</v>
      </c>
      <c r="R303">
        <v>100</v>
      </c>
      <c r="S303">
        <v>94.8</v>
      </c>
      <c r="T303" t="s">
        <v>117</v>
      </c>
    </row>
    <row r="304" spans="1:20" x14ac:dyDescent="0.3">
      <c r="A304" t="s">
        <v>115</v>
      </c>
      <c r="B304" s="8">
        <v>0.98958333333333337</v>
      </c>
      <c r="C304" t="s">
        <v>116</v>
      </c>
      <c r="D304">
        <v>100</v>
      </c>
      <c r="E304">
        <v>266.2</v>
      </c>
      <c r="F304" t="s">
        <v>117</v>
      </c>
      <c r="N304" s="7">
        <v>45390</v>
      </c>
      <c r="O304" t="s">
        <v>115</v>
      </c>
      <c r="P304" s="1">
        <v>0.98263888888888884</v>
      </c>
      <c r="Q304" t="s">
        <v>116</v>
      </c>
      <c r="R304">
        <v>100</v>
      </c>
      <c r="S304">
        <v>113.9</v>
      </c>
      <c r="T304" t="s">
        <v>117</v>
      </c>
    </row>
    <row r="305" spans="1:20" x14ac:dyDescent="0.3">
      <c r="A305" t="s">
        <v>115</v>
      </c>
      <c r="B305" s="8">
        <v>0.99305555555555558</v>
      </c>
      <c r="C305" t="s">
        <v>116</v>
      </c>
      <c r="D305">
        <v>70</v>
      </c>
      <c r="E305">
        <v>261.2</v>
      </c>
      <c r="F305" t="s">
        <v>117</v>
      </c>
      <c r="N305" s="7">
        <v>45390</v>
      </c>
      <c r="O305" t="s">
        <v>115</v>
      </c>
      <c r="P305" s="1">
        <v>0.98611111111111116</v>
      </c>
      <c r="Q305" t="s">
        <v>116</v>
      </c>
      <c r="R305">
        <v>100</v>
      </c>
      <c r="S305">
        <v>98.1</v>
      </c>
      <c r="T305" t="s">
        <v>117</v>
      </c>
    </row>
    <row r="306" spans="1:20" x14ac:dyDescent="0.3">
      <c r="A306" t="s">
        <v>115</v>
      </c>
      <c r="B306" s="8">
        <v>0.99652777777777779</v>
      </c>
      <c r="C306" t="s">
        <v>116</v>
      </c>
      <c r="D306">
        <v>100</v>
      </c>
      <c r="E306">
        <v>274.10000000000002</v>
      </c>
      <c r="F306" t="s">
        <v>117</v>
      </c>
      <c r="N306" s="7">
        <v>45390</v>
      </c>
      <c r="O306" t="s">
        <v>115</v>
      </c>
      <c r="P306" s="1">
        <v>0.98958333333333337</v>
      </c>
      <c r="Q306" t="s">
        <v>116</v>
      </c>
      <c r="R306">
        <v>100</v>
      </c>
      <c r="S306">
        <v>108.2</v>
      </c>
      <c r="T306" t="s">
        <v>117</v>
      </c>
    </row>
    <row r="307" spans="1:20" x14ac:dyDescent="0.3">
      <c r="N307" s="7">
        <v>45390</v>
      </c>
      <c r="O307" t="s">
        <v>115</v>
      </c>
      <c r="P307" s="1">
        <v>0.99305555555555558</v>
      </c>
      <c r="Q307" t="s">
        <v>116</v>
      </c>
      <c r="R307">
        <v>70</v>
      </c>
      <c r="S307">
        <v>98.8</v>
      </c>
      <c r="T307" t="s">
        <v>117</v>
      </c>
    </row>
    <row r="308" spans="1:20" x14ac:dyDescent="0.3">
      <c r="N308" s="7">
        <v>45390</v>
      </c>
      <c r="O308" t="s">
        <v>115</v>
      </c>
      <c r="P308" s="1">
        <v>0.99652777777777779</v>
      </c>
      <c r="Q308" t="s">
        <v>116</v>
      </c>
      <c r="R308">
        <v>100</v>
      </c>
      <c r="S308">
        <v>110</v>
      </c>
      <c r="T308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40m</vt:lpstr>
      <vt:lpstr>60m</vt:lpstr>
      <vt:lpstr>N6RFM</vt:lpstr>
      <vt:lpstr>Austin</vt:lpstr>
      <vt:lpstr>Austin!_20240408_hmE_AU930_9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2024-05-25T15:01:09Z</dcterms:created>
  <dcterms:modified xsi:type="dcterms:W3CDTF">2025-08-23T14:37:25Z</dcterms:modified>
</cp:coreProperties>
</file>