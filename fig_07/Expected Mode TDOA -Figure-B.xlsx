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Fronteirs Paper August 2025\"/>
    </mc:Choice>
  </mc:AlternateContent>
  <xr:revisionPtr revIDLastSave="0" documentId="13_ncr:1_{1F2BF5AD-2760-4274-9C51-7CFA40C960EE}" xr6:coauthVersionLast="47" xr6:coauthVersionMax="47" xr10:uidLastSave="{00000000-0000-0000-0000-000000000000}"/>
  <workbookProtection workbookAlgorithmName="SHA-512" workbookHashValue="+f8djzVEuvjWQy8DsbdSfB1YOF/F3VVChbWz4a0tUAZe2VVOO67jygeNN+B8h6QzMuwwrp6xE0AquR5o2Yk2bw==" workbookSaltValue="T8MKFDV5/n4HZoy8FHF6NQ==" workbookSpinCount="100000" lockStructure="1"/>
  <bookViews>
    <workbookView xWindow="-28920" yWindow="840" windowWidth="29040" windowHeight="15720" xr2:uid="{1040B023-04C1-E04C-BEB8-7D386D37A577}"/>
  </bookViews>
  <sheets>
    <sheet name="Sheet1" sheetId="1" r:id="rId1"/>
    <sheet name="Max 1-hop" sheetId="2" r:id="rId2"/>
  </sheets>
  <definedNames>
    <definedName name="_xlnm.Print_Area" localSheetId="0">Sheet1!$A$1:$M$63</definedName>
    <definedName name="Z_4ABB2F90_749A_4A03_B785_9424E18CA411_.wvu.PrintArea" localSheetId="0" hidden="1">Sheet1!$A$1:$M$63</definedName>
  </definedNames>
  <calcPr calcId="191028"/>
  <customWorkbookViews>
    <customWorkbookView name="headings" guid="{4ABB2F90-749A-4A03-B785-9424E18CA411}" maximized="1" xWindow="-9" yWindow="-9" windowWidth="1938" windowHeight="103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S5" i="1"/>
  <c r="S6" i="1" s="1"/>
  <c r="S7" i="1" s="1"/>
  <c r="T4" i="1"/>
  <c r="V4" i="1" s="1"/>
  <c r="W3" i="1"/>
  <c r="Z3" i="1" s="1"/>
  <c r="V3" i="1"/>
  <c r="Y3" i="1" s="1"/>
  <c r="U3" i="1"/>
  <c r="X3" i="1" s="1"/>
  <c r="A5" i="1"/>
  <c r="B4" i="1"/>
  <c r="B5" i="1" s="1"/>
  <c r="E3" i="1"/>
  <c r="H3" i="1" s="1"/>
  <c r="D3" i="1"/>
  <c r="G3" i="1" s="1"/>
  <c r="C3" i="1"/>
  <c r="I3" i="1" s="1"/>
  <c r="T5" i="1" l="1"/>
  <c r="T6" i="1" s="1"/>
  <c r="T7" i="1" s="1"/>
  <c r="T8" i="1" s="1"/>
  <c r="T9" i="1" s="1"/>
  <c r="T10" i="1" s="1"/>
  <c r="U4" i="1"/>
  <c r="AA3" i="1"/>
  <c r="W4" i="1"/>
  <c r="AC4" i="1" s="1"/>
  <c r="Y4" i="1"/>
  <c r="AB4" i="1"/>
  <c r="S8" i="1"/>
  <c r="AB3" i="1"/>
  <c r="AC3" i="1"/>
  <c r="F3" i="1"/>
  <c r="J3" i="1"/>
  <c r="C5" i="1"/>
  <c r="B6" i="1"/>
  <c r="B7" i="1" s="1"/>
  <c r="B8" i="1" s="1"/>
  <c r="B9" i="1" s="1"/>
  <c r="B10" i="1" s="1"/>
  <c r="E5" i="1"/>
  <c r="K3" i="1"/>
  <c r="C4" i="1"/>
  <c r="D5" i="1"/>
  <c r="A6" i="1"/>
  <c r="D4" i="1"/>
  <c r="E4" i="1"/>
  <c r="L3" i="1" l="1"/>
  <c r="P8" i="1"/>
  <c r="P9" i="1"/>
  <c r="P7" i="1"/>
  <c r="P6" i="1"/>
  <c r="P5" i="1"/>
  <c r="P4" i="1"/>
  <c r="P10" i="1"/>
  <c r="V6" i="1"/>
  <c r="AB6" i="1" s="1"/>
  <c r="AG6" i="1" s="1"/>
  <c r="V5" i="1"/>
  <c r="AB5" i="1" s="1"/>
  <c r="AG5" i="1" s="1"/>
  <c r="W6" i="1"/>
  <c r="AC6" i="1" s="1"/>
  <c r="U6" i="1"/>
  <c r="AA6" i="1" s="1"/>
  <c r="W5" i="1"/>
  <c r="AC5" i="1" s="1"/>
  <c r="V7" i="1"/>
  <c r="AB7" i="1" s="1"/>
  <c r="AG7" i="1" s="1"/>
  <c r="U7" i="1"/>
  <c r="AA7" i="1" s="1"/>
  <c r="AH10" i="1"/>
  <c r="AH8" i="1"/>
  <c r="AH6" i="1"/>
  <c r="AH4" i="1"/>
  <c r="AH7" i="1"/>
  <c r="AH9" i="1"/>
  <c r="AH5" i="1"/>
  <c r="AG4" i="1"/>
  <c r="U5" i="1"/>
  <c r="Z4" i="1"/>
  <c r="AE4" i="1"/>
  <c r="AD3" i="1"/>
  <c r="AA4" i="1"/>
  <c r="X4" i="1"/>
  <c r="W7" i="1"/>
  <c r="W8" i="1"/>
  <c r="V8" i="1"/>
  <c r="U8" i="1"/>
  <c r="S9" i="1"/>
  <c r="AE3" i="1"/>
  <c r="M3" i="1"/>
  <c r="C6" i="1"/>
  <c r="A7" i="1"/>
  <c r="D6" i="1"/>
  <c r="E6" i="1"/>
  <c r="H5" i="1"/>
  <c r="K5" i="1"/>
  <c r="J5" i="1"/>
  <c r="G5" i="1"/>
  <c r="H4" i="1"/>
  <c r="K4" i="1"/>
  <c r="F5" i="1"/>
  <c r="I5" i="1"/>
  <c r="N5" i="1" s="1"/>
  <c r="I4" i="1"/>
  <c r="N4" i="1" s="1"/>
  <c r="F4" i="1"/>
  <c r="J4" i="1"/>
  <c r="G4" i="1"/>
  <c r="A42" i="1"/>
  <c r="A43" i="1" s="1"/>
  <c r="A44" i="1" s="1"/>
  <c r="A45" i="1" s="1"/>
  <c r="A46" i="1" s="1"/>
  <c r="A47" i="1" s="1"/>
  <c r="A48" i="1" s="1"/>
  <c r="B41" i="1"/>
  <c r="B42" i="1" s="1"/>
  <c r="E40" i="1"/>
  <c r="H40" i="1" s="1"/>
  <c r="D40" i="1"/>
  <c r="G40" i="1" s="1"/>
  <c r="C40" i="1"/>
  <c r="I40" i="1" s="1"/>
  <c r="S31" i="1"/>
  <c r="T30" i="1"/>
  <c r="T31" i="1" s="1"/>
  <c r="W29" i="1"/>
  <c r="Z29" i="1" s="1"/>
  <c r="V29" i="1"/>
  <c r="Y29" i="1" s="1"/>
  <c r="U29" i="1"/>
  <c r="AA29" i="1" s="1"/>
  <c r="O11" i="1"/>
  <c r="N11" i="1"/>
  <c r="AU5" i="1"/>
  <c r="AU6" i="1" s="1"/>
  <c r="AU7" i="1" s="1"/>
  <c r="AU8" i="1" s="1"/>
  <c r="AU9" i="1" s="1"/>
  <c r="AU10" i="1" s="1"/>
  <c r="AY3" i="1"/>
  <c r="BE3" i="1" s="1"/>
  <c r="Z6" i="1" l="1"/>
  <c r="A49" i="1"/>
  <c r="A50" i="1" s="1"/>
  <c r="A51" i="1" s="1"/>
  <c r="A52" i="1" s="1"/>
  <c r="O4" i="1"/>
  <c r="Q4" i="1"/>
  <c r="Q5" i="1"/>
  <c r="O5" i="1"/>
  <c r="Y6" i="1"/>
  <c r="Y7" i="1"/>
  <c r="X6" i="1"/>
  <c r="AE5" i="1"/>
  <c r="Y5" i="1"/>
  <c r="X7" i="1"/>
  <c r="Z5" i="1"/>
  <c r="AI6" i="1"/>
  <c r="AF6" i="1"/>
  <c r="AA5" i="1"/>
  <c r="X5" i="1"/>
  <c r="AI4" i="1"/>
  <c r="AF4" i="1"/>
  <c r="AI7" i="1"/>
  <c r="AF7" i="1"/>
  <c r="AD4" i="1"/>
  <c r="AD6" i="1"/>
  <c r="AD7" i="1"/>
  <c r="V9" i="1"/>
  <c r="U9" i="1"/>
  <c r="S10" i="1"/>
  <c r="W9" i="1"/>
  <c r="AA8" i="1"/>
  <c r="X8" i="1"/>
  <c r="Y8" i="1"/>
  <c r="AB8" i="1"/>
  <c r="AG8" i="1" s="1"/>
  <c r="Z7" i="1"/>
  <c r="AC7" i="1"/>
  <c r="AE7" i="1" s="1"/>
  <c r="Z8" i="1"/>
  <c r="AC8" i="1"/>
  <c r="AE6" i="1"/>
  <c r="K6" i="1"/>
  <c r="H6" i="1"/>
  <c r="L4" i="1"/>
  <c r="L5" i="1"/>
  <c r="G6" i="1"/>
  <c r="J6" i="1"/>
  <c r="M4" i="1"/>
  <c r="M5" i="1"/>
  <c r="A8" i="1"/>
  <c r="D7" i="1"/>
  <c r="C7" i="1"/>
  <c r="E7" i="1"/>
  <c r="F6" i="1"/>
  <c r="I6" i="1"/>
  <c r="N6" i="1" s="1"/>
  <c r="A53" i="1"/>
  <c r="F40" i="1"/>
  <c r="J40" i="1"/>
  <c r="W31" i="1"/>
  <c r="AC31" i="1" s="1"/>
  <c r="X29" i="1"/>
  <c r="AB29" i="1"/>
  <c r="B43" i="1"/>
  <c r="B44" i="1" s="1"/>
  <c r="B45" i="1" s="1"/>
  <c r="B46" i="1" s="1"/>
  <c r="B47" i="1" s="1"/>
  <c r="B48" i="1" s="1"/>
  <c r="B49" i="1" s="1"/>
  <c r="B50" i="1" s="1"/>
  <c r="C42" i="1"/>
  <c r="E42" i="1"/>
  <c r="K40" i="1"/>
  <c r="C41" i="1"/>
  <c r="D42" i="1"/>
  <c r="D41" i="1"/>
  <c r="E41" i="1"/>
  <c r="U31" i="1"/>
  <c r="T32" i="1"/>
  <c r="T33" i="1" s="1"/>
  <c r="T34" i="1" s="1"/>
  <c r="T35" i="1" s="1"/>
  <c r="T36" i="1" s="1"/>
  <c r="AC29" i="1"/>
  <c r="U30" i="1"/>
  <c r="V31" i="1"/>
  <c r="S32" i="1"/>
  <c r="V30" i="1"/>
  <c r="W30" i="1"/>
  <c r="BB3" i="1"/>
  <c r="E50" i="1" l="1"/>
  <c r="C50" i="1"/>
  <c r="I50" i="1" s="1"/>
  <c r="N50" i="1" s="1"/>
  <c r="AD29" i="1"/>
  <c r="AH35" i="1"/>
  <c r="AH34" i="1"/>
  <c r="AH36" i="1"/>
  <c r="AH32" i="1"/>
  <c r="AH31" i="1"/>
  <c r="AH30" i="1"/>
  <c r="AH33" i="1"/>
  <c r="L40" i="1"/>
  <c r="P63" i="1"/>
  <c r="P53" i="1"/>
  <c r="P45" i="1"/>
  <c r="P66" i="1"/>
  <c r="P58" i="1"/>
  <c r="P52" i="1"/>
  <c r="P42" i="1"/>
  <c r="P61" i="1"/>
  <c r="P51" i="1"/>
  <c r="P43" i="1"/>
  <c r="P65" i="1"/>
  <c r="P49" i="1"/>
  <c r="P68" i="1"/>
  <c r="P64" i="1"/>
  <c r="P56" i="1"/>
  <c r="P48" i="1"/>
  <c r="P71" i="1"/>
  <c r="P69" i="1"/>
  <c r="P67" i="1"/>
  <c r="P59" i="1"/>
  <c r="P57" i="1"/>
  <c r="P55" i="1"/>
  <c r="P47" i="1"/>
  <c r="P41" i="1"/>
  <c r="P62" i="1"/>
  <c r="P54" i="1"/>
  <c r="P46" i="1"/>
  <c r="P70" i="1"/>
  <c r="P60" i="1"/>
  <c r="P50" i="1"/>
  <c r="P44" i="1"/>
  <c r="E49" i="1"/>
  <c r="K49" i="1" s="1"/>
  <c r="AE29" i="1"/>
  <c r="D48" i="1"/>
  <c r="D49" i="1"/>
  <c r="Q6" i="1"/>
  <c r="O6" i="1"/>
  <c r="C48" i="1"/>
  <c r="C49" i="1"/>
  <c r="I49" i="1" s="1"/>
  <c r="N49" i="1" s="1"/>
  <c r="E48" i="1"/>
  <c r="AF5" i="1"/>
  <c r="AI5" i="1"/>
  <c r="AD5" i="1"/>
  <c r="AI8" i="1"/>
  <c r="AF8" i="1"/>
  <c r="AD8" i="1"/>
  <c r="AE8" i="1"/>
  <c r="Z9" i="1"/>
  <c r="AC9" i="1"/>
  <c r="W10" i="1"/>
  <c r="V10" i="1"/>
  <c r="U10" i="1"/>
  <c r="X9" i="1"/>
  <c r="AA9" i="1"/>
  <c r="Y9" i="1"/>
  <c r="AB9" i="1"/>
  <c r="AG9" i="1" s="1"/>
  <c r="G7" i="1"/>
  <c r="J7" i="1"/>
  <c r="L6" i="1"/>
  <c r="E8" i="1"/>
  <c r="A9" i="1"/>
  <c r="D8" i="1"/>
  <c r="C8" i="1"/>
  <c r="H7" i="1"/>
  <c r="K7" i="1"/>
  <c r="I7" i="1"/>
  <c r="N7" i="1" s="1"/>
  <c r="F7" i="1"/>
  <c r="M6" i="1"/>
  <c r="Z31" i="1"/>
  <c r="M40" i="1"/>
  <c r="K50" i="1"/>
  <c r="H50" i="1"/>
  <c r="H49" i="1"/>
  <c r="J49" i="1"/>
  <c r="G49" i="1"/>
  <c r="J48" i="1"/>
  <c r="G48" i="1"/>
  <c r="I48" i="1"/>
  <c r="N48" i="1" s="1"/>
  <c r="F48" i="1"/>
  <c r="F49" i="1"/>
  <c r="A54" i="1"/>
  <c r="F50" i="1"/>
  <c r="D50" i="1"/>
  <c r="B51" i="1"/>
  <c r="K42" i="1"/>
  <c r="H42" i="1"/>
  <c r="H41" i="1"/>
  <c r="K41" i="1"/>
  <c r="I41" i="1"/>
  <c r="N41" i="1" s="1"/>
  <c r="F41" i="1"/>
  <c r="F42" i="1"/>
  <c r="I42" i="1"/>
  <c r="N42" i="1" s="1"/>
  <c r="C43" i="1"/>
  <c r="D43" i="1"/>
  <c r="E43" i="1"/>
  <c r="J42" i="1"/>
  <c r="G42" i="1"/>
  <c r="J41" i="1"/>
  <c r="G41" i="1"/>
  <c r="AB31" i="1"/>
  <c r="AE31" i="1" s="1"/>
  <c r="Y31" i="1"/>
  <c r="AA30" i="1"/>
  <c r="AF30" i="1" s="1"/>
  <c r="X30" i="1"/>
  <c r="Z30" i="1"/>
  <c r="AC30" i="1"/>
  <c r="AB30" i="1"/>
  <c r="Y30" i="1"/>
  <c r="X31" i="1"/>
  <c r="AA31" i="1"/>
  <c r="AF31" i="1" s="1"/>
  <c r="U32" i="1"/>
  <c r="S33" i="1"/>
  <c r="W32" i="1"/>
  <c r="V32" i="1"/>
  <c r="AX3" i="1"/>
  <c r="BD3" i="1" s="1"/>
  <c r="O48" i="1" l="1"/>
  <c r="Q48" i="1"/>
  <c r="Q49" i="1"/>
  <c r="O49" i="1"/>
  <c r="O7" i="1"/>
  <c r="Q7" i="1"/>
  <c r="M41" i="1"/>
  <c r="K48" i="1"/>
  <c r="M48" i="1" s="1"/>
  <c r="H48" i="1"/>
  <c r="AG30" i="1"/>
  <c r="AI30" i="1"/>
  <c r="O42" i="1"/>
  <c r="Q42" i="1"/>
  <c r="AI31" i="1"/>
  <c r="AG31" i="1"/>
  <c r="O41" i="1"/>
  <c r="Q41" i="1"/>
  <c r="AF9" i="1"/>
  <c r="AI9" i="1"/>
  <c r="AD9" i="1"/>
  <c r="X10" i="1"/>
  <c r="AA10" i="1"/>
  <c r="Y10" i="1"/>
  <c r="AB10" i="1"/>
  <c r="AG10" i="1" s="1"/>
  <c r="AC10" i="1"/>
  <c r="Z10" i="1"/>
  <c r="AE9" i="1"/>
  <c r="M7" i="1"/>
  <c r="I8" i="1"/>
  <c r="N8" i="1" s="1"/>
  <c r="F8" i="1"/>
  <c r="G8" i="1"/>
  <c r="J8" i="1"/>
  <c r="C9" i="1"/>
  <c r="E9" i="1"/>
  <c r="A10" i="1"/>
  <c r="D9" i="1"/>
  <c r="L7" i="1"/>
  <c r="H8" i="1"/>
  <c r="K8" i="1"/>
  <c r="G50" i="1"/>
  <c r="J50" i="1"/>
  <c r="L48" i="1"/>
  <c r="M49" i="1"/>
  <c r="A55" i="1"/>
  <c r="B52" i="1"/>
  <c r="E51" i="1"/>
  <c r="D51" i="1"/>
  <c r="C51" i="1"/>
  <c r="L49" i="1"/>
  <c r="M50" i="1"/>
  <c r="D44" i="1"/>
  <c r="C44" i="1"/>
  <c r="E44" i="1"/>
  <c r="L41" i="1"/>
  <c r="K43" i="1"/>
  <c r="H43" i="1"/>
  <c r="G43" i="1"/>
  <c r="J43" i="1"/>
  <c r="L42" i="1"/>
  <c r="F43" i="1"/>
  <c r="I43" i="1"/>
  <c r="N43" i="1" s="1"/>
  <c r="M42" i="1"/>
  <c r="AD30" i="1"/>
  <c r="AE30" i="1"/>
  <c r="X32" i="1"/>
  <c r="AA32" i="1"/>
  <c r="AF32" i="1" s="1"/>
  <c r="Y32" i="1"/>
  <c r="AB32" i="1"/>
  <c r="AC32" i="1"/>
  <c r="Z32" i="1"/>
  <c r="S34" i="1"/>
  <c r="V33" i="1"/>
  <c r="U33" i="1"/>
  <c r="W33" i="1"/>
  <c r="AD31" i="1"/>
  <c r="BG3" i="1"/>
  <c r="BA3" i="1"/>
  <c r="B3" i="2"/>
  <c r="C3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B23" i="2" s="1"/>
  <c r="C23" i="2" s="1"/>
  <c r="A4" i="2"/>
  <c r="B4" i="2" s="1"/>
  <c r="C4" i="2" s="1"/>
  <c r="Q8" i="1" l="1"/>
  <c r="O8" i="1"/>
  <c r="AI32" i="1"/>
  <c r="AG32" i="1"/>
  <c r="Q43" i="1"/>
  <c r="O43" i="1"/>
  <c r="O50" i="1"/>
  <c r="Q50" i="1"/>
  <c r="AI10" i="1"/>
  <c r="AF10" i="1"/>
  <c r="AE10" i="1"/>
  <c r="AD10" i="1"/>
  <c r="M8" i="1"/>
  <c r="J9" i="1"/>
  <c r="G9" i="1"/>
  <c r="L8" i="1"/>
  <c r="C10" i="1"/>
  <c r="D10" i="1"/>
  <c r="E10" i="1"/>
  <c r="K9" i="1"/>
  <c r="H9" i="1"/>
  <c r="F9" i="1"/>
  <c r="I9" i="1"/>
  <c r="N9" i="1" s="1"/>
  <c r="J51" i="1"/>
  <c r="G51" i="1"/>
  <c r="H51" i="1"/>
  <c r="K51" i="1"/>
  <c r="M51" i="1" s="1"/>
  <c r="B53" i="1"/>
  <c r="D52" i="1"/>
  <c r="C52" i="1"/>
  <c r="E52" i="1"/>
  <c r="A56" i="1"/>
  <c r="L50" i="1"/>
  <c r="F51" i="1"/>
  <c r="I51" i="1"/>
  <c r="N51" i="1" s="1"/>
  <c r="H44" i="1"/>
  <c r="K44" i="1"/>
  <c r="M43" i="1"/>
  <c r="F44" i="1"/>
  <c r="I44" i="1"/>
  <c r="N44" i="1" s="1"/>
  <c r="L43" i="1"/>
  <c r="G44" i="1"/>
  <c r="J44" i="1"/>
  <c r="E45" i="1"/>
  <c r="D45" i="1"/>
  <c r="C45" i="1"/>
  <c r="AA33" i="1"/>
  <c r="AF33" i="1" s="1"/>
  <c r="X33" i="1"/>
  <c r="AE32" i="1"/>
  <c r="Y33" i="1"/>
  <c r="AB33" i="1"/>
  <c r="AD32" i="1"/>
  <c r="W34" i="1"/>
  <c r="S35" i="1"/>
  <c r="V34" i="1"/>
  <c r="U34" i="1"/>
  <c r="Z33" i="1"/>
  <c r="AC33" i="1"/>
  <c r="B5" i="2"/>
  <c r="C5" i="2" s="1"/>
  <c r="B17" i="2"/>
  <c r="C17" i="2" s="1"/>
  <c r="B10" i="2"/>
  <c r="C10" i="2" s="1"/>
  <c r="B21" i="2"/>
  <c r="C21" i="2" s="1"/>
  <c r="B11" i="2"/>
  <c r="C11" i="2" s="1"/>
  <c r="B9" i="2"/>
  <c r="C9" i="2" s="1"/>
  <c r="B13" i="2"/>
  <c r="C13" i="2" s="1"/>
  <c r="B20" i="2"/>
  <c r="C20" i="2" s="1"/>
  <c r="B6" i="2"/>
  <c r="C6" i="2" s="1"/>
  <c r="B14" i="2"/>
  <c r="C14" i="2" s="1"/>
  <c r="B7" i="2"/>
  <c r="C7" i="2" s="1"/>
  <c r="B15" i="2"/>
  <c r="C15" i="2" s="1"/>
  <c r="B18" i="2"/>
  <c r="C18" i="2" s="1"/>
  <c r="B8" i="2"/>
  <c r="C8" i="2" s="1"/>
  <c r="B12" i="2"/>
  <c r="C12" i="2" s="1"/>
  <c r="B16" i="2"/>
  <c r="C16" i="2" s="1"/>
  <c r="B19" i="2"/>
  <c r="C19" i="2" s="1"/>
  <c r="B22" i="2"/>
  <c r="C22" i="2" s="1"/>
  <c r="AW3" i="1"/>
  <c r="BC3" i="1" s="1"/>
  <c r="AV4" i="1"/>
  <c r="AE33" i="1" l="1"/>
  <c r="AI33" i="1"/>
  <c r="AG33" i="1"/>
  <c r="O44" i="1"/>
  <c r="Q44" i="1"/>
  <c r="Q9" i="1"/>
  <c r="O9" i="1"/>
  <c r="Q51" i="1"/>
  <c r="O51" i="1"/>
  <c r="BF3" i="1"/>
  <c r="BJ9" i="1"/>
  <c r="BJ7" i="1"/>
  <c r="BJ10" i="1"/>
  <c r="BJ8" i="1"/>
  <c r="BJ5" i="1"/>
  <c r="BJ4" i="1"/>
  <c r="BJ6" i="1"/>
  <c r="M9" i="1"/>
  <c r="K10" i="1"/>
  <c r="H10" i="1"/>
  <c r="G10" i="1"/>
  <c r="J10" i="1"/>
  <c r="F10" i="1"/>
  <c r="I10" i="1"/>
  <c r="N10" i="1" s="1"/>
  <c r="L9" i="1"/>
  <c r="H52" i="1"/>
  <c r="K52" i="1"/>
  <c r="I52" i="1"/>
  <c r="N52" i="1" s="1"/>
  <c r="F52" i="1"/>
  <c r="A57" i="1"/>
  <c r="G52" i="1"/>
  <c r="J52" i="1"/>
  <c r="B54" i="1"/>
  <c r="C53" i="1"/>
  <c r="E53" i="1"/>
  <c r="D53" i="1"/>
  <c r="L51" i="1"/>
  <c r="M44" i="1"/>
  <c r="G45" i="1"/>
  <c r="J45" i="1"/>
  <c r="E46" i="1"/>
  <c r="C46" i="1"/>
  <c r="D46" i="1"/>
  <c r="H45" i="1"/>
  <c r="K45" i="1"/>
  <c r="I45" i="1"/>
  <c r="N45" i="1" s="1"/>
  <c r="F45" i="1"/>
  <c r="L44" i="1"/>
  <c r="Z34" i="1"/>
  <c r="AC34" i="1"/>
  <c r="AA34" i="1"/>
  <c r="AF34" i="1" s="1"/>
  <c r="X34" i="1"/>
  <c r="AB34" i="1"/>
  <c r="Y34" i="1"/>
  <c r="W35" i="1"/>
  <c r="U35" i="1"/>
  <c r="S36" i="1"/>
  <c r="V35" i="1"/>
  <c r="AD33" i="1"/>
  <c r="AZ3" i="1"/>
  <c r="AY4" i="1"/>
  <c r="AX4" i="1"/>
  <c r="AW4" i="1"/>
  <c r="BC4" i="1" s="1"/>
  <c r="AV5" i="1"/>
  <c r="AI34" i="1" l="1"/>
  <c r="AG34" i="1"/>
  <c r="Q10" i="1"/>
  <c r="O10" i="1"/>
  <c r="O45" i="1"/>
  <c r="Q45" i="1"/>
  <c r="O52" i="1"/>
  <c r="Q52" i="1"/>
  <c r="BH4" i="1"/>
  <c r="BK4" i="1"/>
  <c r="L10" i="1"/>
  <c r="M10" i="1"/>
  <c r="AE34" i="1"/>
  <c r="F53" i="1"/>
  <c r="I53" i="1"/>
  <c r="N53" i="1" s="1"/>
  <c r="B55" i="1"/>
  <c r="C54" i="1"/>
  <c r="D54" i="1"/>
  <c r="E54" i="1"/>
  <c r="J53" i="1"/>
  <c r="G53" i="1"/>
  <c r="L52" i="1"/>
  <c r="M52" i="1"/>
  <c r="K53" i="1"/>
  <c r="H53" i="1"/>
  <c r="A58" i="1"/>
  <c r="M45" i="1"/>
  <c r="F46" i="1"/>
  <c r="I46" i="1"/>
  <c r="N46" i="1" s="1"/>
  <c r="K46" i="1"/>
  <c r="H46" i="1"/>
  <c r="J46" i="1"/>
  <c r="G46" i="1"/>
  <c r="L45" i="1"/>
  <c r="C47" i="1"/>
  <c r="E47" i="1"/>
  <c r="D47" i="1"/>
  <c r="X35" i="1"/>
  <c r="AA35" i="1"/>
  <c r="AF35" i="1" s="1"/>
  <c r="AC35" i="1"/>
  <c r="Z35" i="1"/>
  <c r="AB35" i="1"/>
  <c r="Y35" i="1"/>
  <c r="U36" i="1"/>
  <c r="W36" i="1"/>
  <c r="V36" i="1"/>
  <c r="AD34" i="1"/>
  <c r="BA4" i="1"/>
  <c r="BD4" i="1"/>
  <c r="BI4" i="1" s="1"/>
  <c r="BB4" i="1"/>
  <c r="BE4" i="1"/>
  <c r="AY5" i="1"/>
  <c r="AZ4" i="1"/>
  <c r="AX5" i="1"/>
  <c r="AV6" i="1"/>
  <c r="AW5" i="1"/>
  <c r="BC5" i="1" s="1"/>
  <c r="O46" i="1" l="1"/>
  <c r="Q46" i="1"/>
  <c r="Q53" i="1"/>
  <c r="O53" i="1"/>
  <c r="AG35" i="1"/>
  <c r="AI35" i="1"/>
  <c r="BK5" i="1"/>
  <c r="BH5" i="1"/>
  <c r="B56" i="1"/>
  <c r="E55" i="1"/>
  <c r="C55" i="1"/>
  <c r="D55" i="1"/>
  <c r="A59" i="1"/>
  <c r="M53" i="1"/>
  <c r="I54" i="1"/>
  <c r="N54" i="1" s="1"/>
  <c r="F54" i="1"/>
  <c r="L53" i="1"/>
  <c r="H54" i="1"/>
  <c r="K54" i="1"/>
  <c r="J54" i="1"/>
  <c r="G54" i="1"/>
  <c r="BF4" i="1"/>
  <c r="G47" i="1"/>
  <c r="J47" i="1"/>
  <c r="M46" i="1"/>
  <c r="K47" i="1"/>
  <c r="H47" i="1"/>
  <c r="F47" i="1"/>
  <c r="I47" i="1"/>
  <c r="N47" i="1" s="1"/>
  <c r="L46" i="1"/>
  <c r="Y36" i="1"/>
  <c r="AB36" i="1"/>
  <c r="AC36" i="1"/>
  <c r="Z36" i="1"/>
  <c r="X36" i="1"/>
  <c r="AA36" i="1"/>
  <c r="AF36" i="1" s="1"/>
  <c r="AE35" i="1"/>
  <c r="AD35" i="1"/>
  <c r="BG4" i="1"/>
  <c r="BB5" i="1"/>
  <c r="BE5" i="1"/>
  <c r="BA5" i="1"/>
  <c r="BD5" i="1"/>
  <c r="BI5" i="1" s="1"/>
  <c r="AY6" i="1"/>
  <c r="AZ5" i="1"/>
  <c r="AX6" i="1"/>
  <c r="AW6" i="1"/>
  <c r="BC6" i="1" s="1"/>
  <c r="AV7" i="1"/>
  <c r="O54" i="1" l="1"/>
  <c r="Q54" i="1"/>
  <c r="AI36" i="1"/>
  <c r="AG36" i="1"/>
  <c r="Q47" i="1"/>
  <c r="O47" i="1"/>
  <c r="BK6" i="1"/>
  <c r="BH6" i="1"/>
  <c r="AE36" i="1"/>
  <c r="L54" i="1"/>
  <c r="J55" i="1"/>
  <c r="G55" i="1"/>
  <c r="K55" i="1"/>
  <c r="M55" i="1" s="1"/>
  <c r="H55" i="1"/>
  <c r="M54" i="1"/>
  <c r="I55" i="1"/>
  <c r="N55" i="1" s="1"/>
  <c r="F55" i="1"/>
  <c r="A60" i="1"/>
  <c r="B57" i="1"/>
  <c r="E56" i="1"/>
  <c r="C56" i="1"/>
  <c r="D56" i="1"/>
  <c r="M47" i="1"/>
  <c r="BF5" i="1"/>
  <c r="L47" i="1"/>
  <c r="AD36" i="1"/>
  <c r="BG5" i="1"/>
  <c r="BA6" i="1"/>
  <c r="BD6" i="1"/>
  <c r="BI6" i="1" s="1"/>
  <c r="BB6" i="1"/>
  <c r="BE6" i="1"/>
  <c r="AZ6" i="1"/>
  <c r="AY7" i="1"/>
  <c r="AX7" i="1"/>
  <c r="AW7" i="1"/>
  <c r="BC7" i="1" s="1"/>
  <c r="AV8" i="1"/>
  <c r="Q55" i="1" l="1"/>
  <c r="O55" i="1"/>
  <c r="BK7" i="1"/>
  <c r="BH7" i="1"/>
  <c r="A61" i="1"/>
  <c r="J56" i="1"/>
  <c r="G56" i="1"/>
  <c r="F56" i="1"/>
  <c r="I56" i="1"/>
  <c r="N56" i="1" s="1"/>
  <c r="K56" i="1"/>
  <c r="H56" i="1"/>
  <c r="L55" i="1"/>
  <c r="B58" i="1"/>
  <c r="E57" i="1"/>
  <c r="C57" i="1"/>
  <c r="D57" i="1"/>
  <c r="BF6" i="1"/>
  <c r="BG6" i="1"/>
  <c r="BA7" i="1"/>
  <c r="BD7" i="1"/>
  <c r="BI7" i="1" s="1"/>
  <c r="BB7" i="1"/>
  <c r="BE7" i="1"/>
  <c r="AY8" i="1"/>
  <c r="AZ7" i="1"/>
  <c r="AX8" i="1"/>
  <c r="AV9" i="1"/>
  <c r="AW8" i="1"/>
  <c r="BC8" i="1" s="1"/>
  <c r="O56" i="1" l="1"/>
  <c r="Q56" i="1"/>
  <c r="M56" i="1"/>
  <c r="BK8" i="1"/>
  <c r="BH8" i="1"/>
  <c r="G57" i="1"/>
  <c r="J57" i="1"/>
  <c r="I57" i="1"/>
  <c r="N57" i="1" s="1"/>
  <c r="F57" i="1"/>
  <c r="K57" i="1"/>
  <c r="H57" i="1"/>
  <c r="B59" i="1"/>
  <c r="D58" i="1"/>
  <c r="E58" i="1"/>
  <c r="C58" i="1"/>
  <c r="L56" i="1"/>
  <c r="A62" i="1"/>
  <c r="BF7" i="1"/>
  <c r="BG7" i="1"/>
  <c r="BB8" i="1"/>
  <c r="BE8" i="1"/>
  <c r="BA8" i="1"/>
  <c r="BD8" i="1"/>
  <c r="BI8" i="1" s="1"/>
  <c r="AZ8" i="1"/>
  <c r="AY9" i="1"/>
  <c r="BE9" i="1" s="1"/>
  <c r="AX9" i="1"/>
  <c r="BD9" i="1" s="1"/>
  <c r="BI9" i="1" s="1"/>
  <c r="AW9" i="1"/>
  <c r="BC9" i="1" s="1"/>
  <c r="AV10" i="1"/>
  <c r="Q57" i="1" l="1"/>
  <c r="O57" i="1"/>
  <c r="BK9" i="1"/>
  <c r="BH9" i="1"/>
  <c r="J58" i="1"/>
  <c r="G58" i="1"/>
  <c r="A63" i="1"/>
  <c r="B60" i="1"/>
  <c r="C59" i="1"/>
  <c r="E59" i="1"/>
  <c r="D59" i="1"/>
  <c r="L57" i="1"/>
  <c r="F58" i="1"/>
  <c r="I58" i="1"/>
  <c r="N58" i="1" s="1"/>
  <c r="H58" i="1"/>
  <c r="K58" i="1"/>
  <c r="M58" i="1" s="1"/>
  <c r="M57" i="1"/>
  <c r="BF8" i="1"/>
  <c r="BG9" i="1"/>
  <c r="BG8" i="1"/>
  <c r="BF9" i="1"/>
  <c r="BA9" i="1"/>
  <c r="AZ9" i="1"/>
  <c r="BB9" i="1"/>
  <c r="AY10" i="1"/>
  <c r="BE10" i="1" s="1"/>
  <c r="AX10" i="1"/>
  <c r="BD10" i="1" s="1"/>
  <c r="BI10" i="1" s="1"/>
  <c r="AW10" i="1"/>
  <c r="BC10" i="1" s="1"/>
  <c r="O58" i="1" l="1"/>
  <c r="Q58" i="1"/>
  <c r="BK10" i="1"/>
  <c r="BH10" i="1"/>
  <c r="I59" i="1"/>
  <c r="N59" i="1" s="1"/>
  <c r="F59" i="1"/>
  <c r="A64" i="1"/>
  <c r="B61" i="1"/>
  <c r="C60" i="1"/>
  <c r="D60" i="1"/>
  <c r="E60" i="1"/>
  <c r="G59" i="1"/>
  <c r="J59" i="1"/>
  <c r="K59" i="1"/>
  <c r="H59" i="1"/>
  <c r="L58" i="1"/>
  <c r="BF10" i="1"/>
  <c r="BG10" i="1"/>
  <c r="AZ10" i="1"/>
  <c r="BA10" i="1"/>
  <c r="BB10" i="1"/>
  <c r="Q59" i="1" l="1"/>
  <c r="O59" i="1"/>
  <c r="F60" i="1"/>
  <c r="I60" i="1"/>
  <c r="N60" i="1" s="1"/>
  <c r="L59" i="1"/>
  <c r="B62" i="1"/>
  <c r="E61" i="1"/>
  <c r="D61" i="1"/>
  <c r="C61" i="1"/>
  <c r="A65" i="1"/>
  <c r="H60" i="1"/>
  <c r="K60" i="1"/>
  <c r="M59" i="1"/>
  <c r="J60" i="1"/>
  <c r="G60" i="1"/>
  <c r="O60" i="1" l="1"/>
  <c r="Q60" i="1"/>
  <c r="I61" i="1"/>
  <c r="N61" i="1" s="1"/>
  <c r="F61" i="1"/>
  <c r="A66" i="1"/>
  <c r="A67" i="1" s="1"/>
  <c r="G61" i="1"/>
  <c r="J61" i="1"/>
  <c r="L60" i="1"/>
  <c r="M60" i="1"/>
  <c r="K61" i="1"/>
  <c r="H61" i="1"/>
  <c r="B63" i="1"/>
  <c r="E62" i="1"/>
  <c r="C62" i="1"/>
  <c r="D62" i="1"/>
  <c r="Q61" i="1" l="1"/>
  <c r="O61" i="1"/>
  <c r="A68" i="1"/>
  <c r="M61" i="1"/>
  <c r="H62" i="1"/>
  <c r="K62" i="1"/>
  <c r="F62" i="1"/>
  <c r="I62" i="1"/>
  <c r="N62" i="1" s="1"/>
  <c r="L61" i="1"/>
  <c r="B64" i="1"/>
  <c r="E63" i="1"/>
  <c r="D63" i="1"/>
  <c r="C63" i="1"/>
  <c r="J62" i="1"/>
  <c r="G62" i="1"/>
  <c r="A69" i="1" l="1"/>
  <c r="O62" i="1"/>
  <c r="Q62" i="1"/>
  <c r="B65" i="1"/>
  <c r="E64" i="1"/>
  <c r="C64" i="1"/>
  <c r="D64" i="1"/>
  <c r="H63" i="1"/>
  <c r="K63" i="1"/>
  <c r="L62" i="1"/>
  <c r="I63" i="1"/>
  <c r="N63" i="1" s="1"/>
  <c r="F63" i="1"/>
  <c r="M62" i="1"/>
  <c r="G63" i="1"/>
  <c r="J63" i="1"/>
  <c r="M63" i="1" l="1"/>
  <c r="A70" i="1"/>
  <c r="Q63" i="1"/>
  <c r="O63" i="1"/>
  <c r="J64" i="1"/>
  <c r="G64" i="1"/>
  <c r="I64" i="1"/>
  <c r="N64" i="1" s="1"/>
  <c r="F64" i="1"/>
  <c r="H64" i="1"/>
  <c r="K64" i="1"/>
  <c r="L63" i="1"/>
  <c r="B66" i="1"/>
  <c r="B67" i="1" s="1"/>
  <c r="E65" i="1"/>
  <c r="C65" i="1"/>
  <c r="D65" i="1"/>
  <c r="B68" i="1" l="1"/>
  <c r="D67" i="1"/>
  <c r="E67" i="1"/>
  <c r="C67" i="1"/>
  <c r="A71" i="1"/>
  <c r="O64" i="1"/>
  <c r="Q64" i="1"/>
  <c r="M64" i="1"/>
  <c r="J65" i="1"/>
  <c r="G65" i="1"/>
  <c r="F65" i="1"/>
  <c r="I65" i="1"/>
  <c r="N65" i="1" s="1"/>
  <c r="K65" i="1"/>
  <c r="M65" i="1" s="1"/>
  <c r="H65" i="1"/>
  <c r="E66" i="1"/>
  <c r="D66" i="1"/>
  <c r="C66" i="1"/>
  <c r="L64" i="1"/>
  <c r="F67" i="1" l="1"/>
  <c r="I67" i="1"/>
  <c r="N67" i="1" s="1"/>
  <c r="Q65" i="1"/>
  <c r="O65" i="1"/>
  <c r="H67" i="1"/>
  <c r="K67" i="1"/>
  <c r="G67" i="1"/>
  <c r="J67" i="1"/>
  <c r="B69" i="1"/>
  <c r="C68" i="1"/>
  <c r="E68" i="1"/>
  <c r="D68" i="1"/>
  <c r="K66" i="1"/>
  <c r="H66" i="1"/>
  <c r="F66" i="1"/>
  <c r="I66" i="1"/>
  <c r="N66" i="1" s="1"/>
  <c r="G66" i="1"/>
  <c r="J66" i="1"/>
  <c r="L65" i="1"/>
  <c r="M67" i="1" l="1"/>
  <c r="K68" i="1"/>
  <c r="H68" i="1"/>
  <c r="J68" i="1"/>
  <c r="G68" i="1"/>
  <c r="O66" i="1"/>
  <c r="Q66" i="1"/>
  <c r="B70" i="1"/>
  <c r="E69" i="1"/>
  <c r="D69" i="1"/>
  <c r="C69" i="1"/>
  <c r="Q67" i="1"/>
  <c r="O67" i="1"/>
  <c r="L67" i="1"/>
  <c r="F68" i="1"/>
  <c r="I68" i="1"/>
  <c r="N68" i="1" s="1"/>
  <c r="L66" i="1"/>
  <c r="M66" i="1"/>
  <c r="B71" i="1" l="1"/>
  <c r="D70" i="1"/>
  <c r="C70" i="1"/>
  <c r="E70" i="1"/>
  <c r="O68" i="1"/>
  <c r="Q68" i="1"/>
  <c r="L68" i="1"/>
  <c r="F69" i="1"/>
  <c r="I69" i="1"/>
  <c r="N69" i="1" s="1"/>
  <c r="H69" i="1"/>
  <c r="K69" i="1"/>
  <c r="J69" i="1"/>
  <c r="G69" i="1"/>
  <c r="M68" i="1"/>
  <c r="K70" i="1" l="1"/>
  <c r="H70" i="1"/>
  <c r="I70" i="1"/>
  <c r="N70" i="1" s="1"/>
  <c r="F70" i="1"/>
  <c r="M69" i="1"/>
  <c r="G70" i="1"/>
  <c r="J70" i="1"/>
  <c r="Q69" i="1"/>
  <c r="O69" i="1"/>
  <c r="L69" i="1"/>
  <c r="E71" i="1"/>
  <c r="D71" i="1"/>
  <c r="C71" i="1"/>
  <c r="O70" i="1" l="1"/>
  <c r="Q70" i="1"/>
  <c r="L70" i="1"/>
  <c r="J71" i="1"/>
  <c r="G71" i="1"/>
  <c r="I71" i="1"/>
  <c r="N71" i="1" s="1"/>
  <c r="F71" i="1"/>
  <c r="H71" i="1"/>
  <c r="K71" i="1"/>
  <c r="M70" i="1"/>
  <c r="Q71" i="1" l="1"/>
  <c r="O71" i="1"/>
  <c r="L71" i="1"/>
  <c r="M71" i="1"/>
</calcChain>
</file>

<file path=xl/sharedStrings.xml><?xml version="1.0" encoding="utf-8"?>
<sst xmlns="http://schemas.openxmlformats.org/spreadsheetml/2006/main" count="238" uniqueCount="84">
  <si>
    <t>Layer Height</t>
  </si>
  <si>
    <t>Ground Dist.</t>
  </si>
  <si>
    <t>1-hop Path</t>
  </si>
  <si>
    <t>2-hop Path</t>
  </si>
  <si>
    <t>3-hop Path</t>
  </si>
  <si>
    <t>1-hop TOA</t>
  </si>
  <si>
    <t>2-hop TOA</t>
  </si>
  <si>
    <t>3-hop TOA</t>
  </si>
  <si>
    <t>1-hop TOF</t>
  </si>
  <si>
    <t>2-hop TOF</t>
  </si>
  <si>
    <t>3-hop TOF</t>
  </si>
  <si>
    <t>2F2-1F2</t>
  </si>
  <si>
    <t>3F2-2F2</t>
  </si>
  <si>
    <t>1F2-1E</t>
  </si>
  <si>
    <t>2F2-2E</t>
  </si>
  <si>
    <t>2E-1E</t>
  </si>
  <si>
    <t>2F2-1E</t>
  </si>
  <si>
    <t>1F2-2E</t>
  </si>
  <si>
    <t>km</t>
  </si>
  <si>
    <t>WA5FRF-N6RFM</t>
  </si>
  <si>
    <t>degrees</t>
  </si>
  <si>
    <t>ms</t>
  </si>
  <si>
    <t>3E-2E</t>
  </si>
  <si>
    <t xml:space="preserve"> </t>
  </si>
  <si>
    <t>N5DUP-W3USR</t>
  </si>
  <si>
    <t>TDOA ms</t>
  </si>
  <si>
    <t>WA5FRF-W3USR</t>
  </si>
  <si>
    <t>Note this line is set to E layer height = 105 km</t>
  </si>
  <si>
    <t>Stations, ground dist.</t>
  </si>
  <si>
    <t>2F2-1F2 @225-375 range</t>
  </si>
  <si>
    <t>2F2-1F2 @250-350 range</t>
  </si>
  <si>
    <t>1F2-1E @ 225-375 range</t>
  </si>
  <si>
    <t>1F2-1E @ 250-350 range</t>
  </si>
  <si>
    <t>2F2-1E @ 225-375 range</t>
  </si>
  <si>
    <t>2F2-1E @ 250-350 range</t>
  </si>
  <si>
    <t>2F2-2E @ 225-375 range</t>
  </si>
  <si>
    <t>2F2-2E @ 250-350 range</t>
  </si>
  <si>
    <t>3F2-2F2 @ 225-375 range</t>
  </si>
  <si>
    <t>3F2-2F2 @ 250-350 range</t>
  </si>
  <si>
    <t>E layer Ht=105km</t>
  </si>
  <si>
    <t>Best Fit</t>
  </si>
  <si>
    <t>WA5FRF-N5DUP= 317km</t>
  </si>
  <si>
    <t>Ht = 142*TDOA + 36.1</t>
  </si>
  <si>
    <t>Ht = 170.4*TDOA + 126.1</t>
  </si>
  <si>
    <t>Ht = 169.5*TDOA + 129.7</t>
  </si>
  <si>
    <t>Ht = 77.7*TDOA + 75.8</t>
  </si>
  <si>
    <t>H t= 77.5*TDOA + 77.1</t>
  </si>
  <si>
    <t>WA5FRF-AG5HR=364km</t>
  </si>
  <si>
    <t>Ht = 141.5*TDOA + 41</t>
  </si>
  <si>
    <t>Ht = 176.5*TDOA + 131.4</t>
  </si>
  <si>
    <t>Ht = 175.4*TDOA + 132.5</t>
  </si>
  <si>
    <t>Ht = 78.5*TDOA + 81.4</t>
  </si>
  <si>
    <t>Ht = 78.7*TDOA + 80.8</t>
  </si>
  <si>
    <t>WA5FRF-N6RFM=407km</t>
  </si>
  <si>
    <t>Ht = 140.2*TDOA + 48.3</t>
  </si>
  <si>
    <t>Ht = 182.5*TDOA + 133.6</t>
  </si>
  <si>
    <t>Ht = 181.8*TDOA + 135.5</t>
  </si>
  <si>
    <t>Ht = 79.4*TDOA + 85.2</t>
  </si>
  <si>
    <t>Ht = 79.4*TDOA + 85.6</t>
  </si>
  <si>
    <t>N5DUP-W3USR=2363km</t>
  </si>
  <si>
    <t>Ht = 234.4*TDOA + 128.9</t>
  </si>
  <si>
    <t>Ht = 232.6*TDOA + 133.7</t>
  </si>
  <si>
    <t>Ht = 454.5*TDOA + 143.2</t>
  </si>
  <si>
    <t>Ht = 454.5*TDOA + 145.5</t>
  </si>
  <si>
    <t>Ht = 154.6*TDOA + 149.2</t>
  </si>
  <si>
    <t>Ht = 153.8*TDOA + 153.1</t>
  </si>
  <si>
    <t>Ht = 170.5*TDOA + 116</t>
  </si>
  <si>
    <t>Ht = 169.5*TDOA + 119.5</t>
  </si>
  <si>
    <t>20 meter data</t>
  </si>
  <si>
    <t>WA5FRF-AB5YO= 8.77km</t>
  </si>
  <si>
    <t>Ht = 150*TDOA</t>
  </si>
  <si>
    <t>Ht = 150*(TDOA + 0.7)</t>
  </si>
  <si>
    <t>Path is NVIS</t>
  </si>
  <si>
    <t>3F2-2F2 Hop</t>
  </si>
  <si>
    <t>WWV</t>
  </si>
  <si>
    <t>WA5FRF-WWV= 1350km</t>
  </si>
  <si>
    <t>N5DUP</t>
  </si>
  <si>
    <t>WA5FRF-W3USR=2480km</t>
  </si>
  <si>
    <t>Layer height</t>
  </si>
  <si>
    <t>Max 1-hop</t>
  </si>
  <si>
    <t>Gnd D-km</t>
  </si>
  <si>
    <t>Gnd D-mi</t>
  </si>
  <si>
    <t>Fit Check:</t>
  </si>
  <si>
    <t>N.B. Range 250-350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</si>
</sst>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2"/>
      <color theme="1"/>
      <name val="Calibri"/>
      <family val="2"/>
      <scheme val="minor"/>
    </font>
    <font>
      <sz val="12"/>
      <color theme="7" tint="0.79998168889431442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 applyProtection="1">
      <protection locked="0"/>
    </xf>
    <xf numFmtId="2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1" fontId="0" fillId="3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2" fontId="0" fillId="6" borderId="0" xfId="0" applyNumberFormat="1" applyFill="1"/>
    <xf numFmtId="0" fontId="0" fillId="7" borderId="0" xfId="0" applyFill="1"/>
    <xf numFmtId="0" fontId="1" fillId="7" borderId="0" xfId="0" applyFont="1" applyFill="1"/>
    <xf numFmtId="1" fontId="2" fillId="7" borderId="0" xfId="0" applyNumberFormat="1" applyFont="1" applyFill="1"/>
    <xf numFmtId="0" fontId="2" fillId="7" borderId="0" xfId="0" applyFont="1" applyFill="1"/>
    <xf numFmtId="0" fontId="0" fillId="8" borderId="0" xfId="0" applyFill="1"/>
    <xf numFmtId="2" fontId="0" fillId="8" borderId="0" xfId="0" applyNumberFormat="1" applyFill="1"/>
    <xf numFmtId="0" fontId="0" fillId="9" borderId="0" xfId="0" applyFill="1"/>
    <xf numFmtId="0" fontId="0" fillId="10" borderId="0" xfId="0" applyFill="1"/>
    <xf numFmtId="2" fontId="0" fillId="5" borderId="0" xfId="0" applyNumberFormat="1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TDOA vs. Virtual Layer height</a:t>
            </a:r>
          </a:p>
          <a:p>
            <a:pPr>
              <a:defRPr/>
            </a:pPr>
            <a:r>
              <a:rPr lang="en-US"/>
              <a:t>WA5FRF-W3USR 2480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Sheet1!$BG$1:$BG$2</c:f>
              <c:strCache>
                <c:ptCount val="2"/>
                <c:pt idx="0">
                  <c:v>3F2-2F2</c:v>
                </c:pt>
                <c:pt idx="1">
                  <c:v>TDOA 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Sheet1!$AU$4:$AU$10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Sheet1!$BG$4:$BG$10</c:f>
              <c:numCache>
                <c:formatCode>0.00</c:formatCode>
                <c:ptCount val="7"/>
                <c:pt idx="0">
                  <c:v>0.61093272690201594</c:v>
                </c:pt>
                <c:pt idx="1">
                  <c:v>0.73818952984360919</c:v>
                </c:pt>
                <c:pt idx="2">
                  <c:v>0.87341204175335108</c:v>
                </c:pt>
                <c:pt idx="3">
                  <c:v>1.0156077825393339</c:v>
                </c:pt>
                <c:pt idx="4">
                  <c:v>1.1638629586043194</c:v>
                </c:pt>
                <c:pt idx="5">
                  <c:v>1.3173475414373232</c:v>
                </c:pt>
                <c:pt idx="6">
                  <c:v>1.4753161633977605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FD-5E4E-8259-D23D7C3FB4A5}"/>
            </c:ext>
          </c:extLst>
        </c:ser>
        <c:ser>
          <c:idx val="3"/>
          <c:order val="1"/>
          <c:tx>
            <c:strRef>
              <c:f>Sheet1!$BI$1:$BI$2</c:f>
              <c:strCache>
                <c:ptCount val="2"/>
                <c:pt idx="0">
                  <c:v>2F2-2E</c:v>
                </c:pt>
                <c:pt idx="1">
                  <c:v>TDOA ms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Sheet1!$AU$4:$AU$10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Sheet1!$BI$4:$BI$10</c:f>
              <c:numCache>
                <c:formatCode>0.00</c:formatCode>
                <c:ptCount val="7"/>
                <c:pt idx="0">
                  <c:v>0.47912033846096413</c:v>
                </c:pt>
                <c:pt idx="1">
                  <c:v>0.61137370953631454</c:v>
                </c:pt>
                <c:pt idx="2">
                  <c:v>0.75380685493630573</c:v>
                </c:pt>
                <c:pt idx="3">
                  <c:v>0.90595476070253156</c:v>
                </c:pt>
                <c:pt idx="4">
                  <c:v>1.0673514273768188</c:v>
                </c:pt>
                <c:pt idx="5">
                  <c:v>1.2375345091395378</c:v>
                </c:pt>
                <c:pt idx="6">
                  <c:v>1.4160492424805238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FD-5E4E-8259-D23D7C3FB4A5}"/>
            </c:ext>
          </c:extLst>
        </c:ser>
        <c:ser>
          <c:idx val="1"/>
          <c:order val="2"/>
          <c:tx>
            <c:strRef>
              <c:f>Sheet1!$BF$1:$BF$2</c:f>
              <c:strCache>
                <c:ptCount val="2"/>
                <c:pt idx="0">
                  <c:v>2F2-1F2</c:v>
                </c:pt>
                <c:pt idx="1">
                  <c:v>TDOA 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Sheet1!$AU$4:$AU$10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Sheet1!$BF$4:$BF$10</c:f>
              <c:numCache>
                <c:formatCode>0.00</c:formatCode>
                <c:ptCount val="7"/>
                <c:pt idx="0">
                  <c:v>0.39620146306994819</c:v>
                </c:pt>
                <c:pt idx="1">
                  <c:v>0.48199763353611935</c:v>
                </c:pt>
                <c:pt idx="2">
                  <c:v>0.57500329872686962</c:v>
                </c:pt>
                <c:pt idx="3">
                  <c:v>0.67480419167149641</c:v>
                </c:pt>
                <c:pt idx="4">
                  <c:v>0.78098680520647434</c:v>
                </c:pt>
                <c:pt idx="5">
                  <c:v>0.89314280647522182</c:v>
                </c:pt>
                <c:pt idx="6">
                  <c:v>1.0108727449556643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FD-5E4E-8259-D23D7C3FB4A5}"/>
            </c:ext>
          </c:extLst>
        </c:ser>
        <c:ser>
          <c:idx val="2"/>
          <c:order val="3"/>
          <c:tx>
            <c:strRef>
              <c:f>Sheet1!$BH$1:$BH$2</c:f>
              <c:strCache>
                <c:ptCount val="2"/>
                <c:pt idx="0">
                  <c:v>1F2-1E</c:v>
                </c:pt>
                <c:pt idx="1">
                  <c:v>TDOA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Sheet1!$AU$4:$AU$10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Sheet1!$BH$4:$BH$10</c:f>
              <c:numCache>
                <c:formatCode>0.00</c:formatCode>
                <c:ptCount val="7"/>
                <c:pt idx="0">
                  <c:v>0.18017900697883071</c:v>
                </c:pt>
                <c:pt idx="1">
                  <c:v>0.22663620758800995</c:v>
                </c:pt>
                <c:pt idx="2">
                  <c:v>0.27606368779725088</c:v>
                </c:pt>
                <c:pt idx="3">
                  <c:v>0.32841070061884992</c:v>
                </c:pt>
                <c:pt idx="4">
                  <c:v>0.38362475375815919</c:v>
                </c:pt>
                <c:pt idx="5">
                  <c:v>0.44165183425213073</c:v>
                </c:pt>
                <c:pt idx="6">
                  <c:v>0.50243662911267428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FD-5E4E-8259-D23D7C3FB4A5}"/>
            </c:ext>
          </c:extLst>
        </c:ser>
        <c:ser>
          <c:idx val="4"/>
          <c:order val="4"/>
          <c:tx>
            <c:strRef>
              <c:f>Sheet1!$BJ$1:$BJ$2</c:f>
              <c:strCache>
                <c:ptCount val="2"/>
                <c:pt idx="0">
                  <c:v>2E-1E</c:v>
                </c:pt>
                <c:pt idx="1">
                  <c:v>TDOA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Sheet1!$AU$4:$AU$10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Sheet1!$P$11:$P$11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FD-5E4E-8259-D23D7C3F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78736"/>
        <c:axId val="584472176"/>
      </c:scatterChart>
      <c:valAx>
        <c:axId val="584478736"/>
        <c:scaling>
          <c:orientation val="minMax"/>
          <c:max val="4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F2 Layer Height - km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Virtual Height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2176"/>
        <c:crosses val="autoZero"/>
        <c:crossBetween val="midCat"/>
        <c:majorUnit val="50"/>
        <c:minorUnit val="10"/>
      </c:valAx>
      <c:valAx>
        <c:axId val="58447217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TDOA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873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78775466714339"/>
          <c:y val="0.44334251968503935"/>
          <c:w val="0.26133768365385424"/>
          <c:h val="0.35156496062992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TDOA vs. Layer height</a:t>
            </a:r>
          </a:p>
          <a:p>
            <a:pPr>
              <a:defRPr/>
            </a:pPr>
            <a:r>
              <a:rPr lang="en-US"/>
              <a:t>WA5FRF-N6RFM 407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Sheet1!$L$1</c:f>
              <c:strCache>
                <c:ptCount val="1"/>
                <c:pt idx="0">
                  <c:v>2F2-1F2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Sheet1!$A$4:$A$10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Sheet1!$L$4:$L$10</c:f>
              <c:numCache>
                <c:formatCode>0.00</c:formatCode>
                <c:ptCount val="7"/>
                <c:pt idx="0">
                  <c:v>1.2638792403911334</c:v>
                </c:pt>
                <c:pt idx="1">
                  <c:v>1.443133565936821</c:v>
                </c:pt>
                <c:pt idx="2">
                  <c:v>1.6217227010139519</c:v>
                </c:pt>
                <c:pt idx="3">
                  <c:v>1.7995042236395298</c:v>
                </c:pt>
                <c:pt idx="4">
                  <c:v>1.9764422265256112</c:v>
                </c:pt>
                <c:pt idx="5">
                  <c:v>2.1525570086518506</c:v>
                </c:pt>
                <c:pt idx="6">
                  <c:v>2.3278966405151968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A9-5D4E-A878-A35D9DF732AC}"/>
            </c:ext>
          </c:extLst>
        </c:ser>
        <c:ser>
          <c:idx val="2"/>
          <c:order val="1"/>
          <c:tx>
            <c:strRef>
              <c:f>Sheet1!$N$1:$N$2</c:f>
              <c:strCache>
                <c:ptCount val="2"/>
                <c:pt idx="0">
                  <c:v>1F2-1E</c:v>
                </c:pt>
                <c:pt idx="1">
                  <c:v>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Sheet1!$A$4:$A$10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Sheet1!$N$4:$N$10</c:f>
              <c:numCache>
                <c:formatCode>0.00</c:formatCode>
                <c:ptCount val="7"/>
                <c:pt idx="0">
                  <c:v>0.50200588317977113</c:v>
                </c:pt>
                <c:pt idx="1">
                  <c:v>0.62925850764281455</c:v>
                </c:pt>
                <c:pt idx="2">
                  <c:v>0.76155779430130011</c:v>
                </c:pt>
                <c:pt idx="3">
                  <c:v>0.8980811334186134</c:v>
                </c:pt>
                <c:pt idx="4">
                  <c:v>1.0381566484414391</c:v>
                </c:pt>
                <c:pt idx="5">
                  <c:v>1.1812351343143694</c:v>
                </c:pt>
                <c:pt idx="6">
                  <c:v>1.3268664559773398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A9-5D4E-A878-A35D9DF732AC}"/>
            </c:ext>
          </c:extLst>
        </c:ser>
        <c:ser>
          <c:idx val="0"/>
          <c:order val="2"/>
          <c:tx>
            <c:strRef>
              <c:f>Sheet1!$P$1:$P$2</c:f>
              <c:strCache>
                <c:ptCount val="2"/>
                <c:pt idx="0">
                  <c:v>2E-1E</c:v>
                </c:pt>
                <c:pt idx="1">
                  <c:v>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Sheet1!$P$4:$P$10</c:f>
              <c:numCache>
                <c:formatCode>0.00</c:formatCode>
                <c:ptCount val="7"/>
                <c:pt idx="0">
                  <c:v>0.42079181388226994</c:v>
                </c:pt>
                <c:pt idx="1">
                  <c:v>0.42079181388226994</c:v>
                </c:pt>
                <c:pt idx="2">
                  <c:v>0.42079181388226994</c:v>
                </c:pt>
                <c:pt idx="3">
                  <c:v>0.42079181388226994</c:v>
                </c:pt>
                <c:pt idx="4">
                  <c:v>0.42079181388226994</c:v>
                </c:pt>
                <c:pt idx="5">
                  <c:v>0.42079181388226994</c:v>
                </c:pt>
                <c:pt idx="6">
                  <c:v>0.42079181388226994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A9-5D4E-A878-A35D9DF73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78736"/>
        <c:axId val="584472176"/>
      </c:scatterChart>
      <c:valAx>
        <c:axId val="584478736"/>
        <c:scaling>
          <c:orientation val="minMax"/>
          <c:max val="4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F2 Layer Height - km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Virtual Height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2176"/>
        <c:crosses val="autoZero"/>
        <c:crossBetween val="midCat"/>
        <c:majorUnit val="50"/>
        <c:minorUnit val="10"/>
      </c:valAx>
      <c:valAx>
        <c:axId val="584472176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TDOA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873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84063133388057"/>
          <c:y val="0.41782217847769026"/>
          <c:w val="0.21928480698711705"/>
          <c:h val="0.210938976377952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TDOA vs. F2 Layer Height for Different Propagation Modes</a:t>
            </a:r>
            <a:r>
              <a:rPr lang="en-US" baseline="0"/>
              <a:t> </a:t>
            </a:r>
            <a:r>
              <a:rPr lang="en-US"/>
              <a:t>WA5FRF-N6RFM 407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5679021243626"/>
          <c:y val="0.2274493927125506"/>
          <c:w val="0.6078076206178199"/>
          <c:h val="0.54774343273887571"/>
        </c:manualLayout>
      </c:layout>
      <c:scatterChart>
        <c:scatterStyle val="smoothMarker"/>
        <c:varyColors val="0"/>
        <c:ser>
          <c:idx val="3"/>
          <c:order val="0"/>
          <c:tx>
            <c:strRef>
              <c:f>Sheet1!$Q$1</c:f>
              <c:strCache>
                <c:ptCount val="1"/>
                <c:pt idx="0">
                  <c:v>2F2-1E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Sheet1!$A$4:$A$10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Sheet1!$Q$4:$Q$10</c:f>
              <c:numCache>
                <c:formatCode>0.00</c:formatCode>
                <c:ptCount val="7"/>
                <c:pt idx="0">
                  <c:v>1.7658851235709045</c:v>
                </c:pt>
                <c:pt idx="1">
                  <c:v>2.0723920735796355</c:v>
                </c:pt>
                <c:pt idx="2">
                  <c:v>2.383280495315252</c:v>
                </c:pt>
                <c:pt idx="3">
                  <c:v>2.6975853570581432</c:v>
                </c:pt>
                <c:pt idx="4">
                  <c:v>3.0145988749670503</c:v>
                </c:pt>
                <c:pt idx="5">
                  <c:v>3.3337921429662201</c:v>
                </c:pt>
                <c:pt idx="6">
                  <c:v>3.6547630964925366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B3-CC4D-AF7E-B42A8FC49ABA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2F2-1F2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Sheet1!$A$4:$A$10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Sheet1!$L$4:$L$10</c:f>
              <c:numCache>
                <c:formatCode>0.00</c:formatCode>
                <c:ptCount val="7"/>
                <c:pt idx="0">
                  <c:v>1.2638792403911334</c:v>
                </c:pt>
                <c:pt idx="1">
                  <c:v>1.443133565936821</c:v>
                </c:pt>
                <c:pt idx="2">
                  <c:v>1.6217227010139519</c:v>
                </c:pt>
                <c:pt idx="3">
                  <c:v>1.7995042236395298</c:v>
                </c:pt>
                <c:pt idx="4">
                  <c:v>1.9764422265256112</c:v>
                </c:pt>
                <c:pt idx="5">
                  <c:v>2.1525570086518506</c:v>
                </c:pt>
                <c:pt idx="6">
                  <c:v>2.3278966405151968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B3-CC4D-AF7E-B42A8FC49ABA}"/>
            </c:ext>
          </c:extLst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1F2-1E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Sheet1!$A$4:$A$10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Sheet1!$N$4:$N$10</c:f>
              <c:numCache>
                <c:formatCode>0.00</c:formatCode>
                <c:ptCount val="7"/>
                <c:pt idx="0">
                  <c:v>0.50200588317977113</c:v>
                </c:pt>
                <c:pt idx="1">
                  <c:v>0.62925850764281455</c:v>
                </c:pt>
                <c:pt idx="2">
                  <c:v>0.76155779430130011</c:v>
                </c:pt>
                <c:pt idx="3">
                  <c:v>0.8980811334186134</c:v>
                </c:pt>
                <c:pt idx="4">
                  <c:v>1.0381566484414391</c:v>
                </c:pt>
                <c:pt idx="5">
                  <c:v>1.1812351343143694</c:v>
                </c:pt>
                <c:pt idx="6">
                  <c:v>1.3268664559773398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B3-CC4D-AF7E-B42A8FC49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78736"/>
        <c:axId val="584472176"/>
      </c:scatterChart>
      <c:valAx>
        <c:axId val="584478736"/>
        <c:scaling>
          <c:orientation val="minMax"/>
          <c:max val="4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F2 Layer Height - km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Spherical Earth Virtual Height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2176"/>
        <c:crosses val="autoZero"/>
        <c:crossBetween val="midCat"/>
        <c:majorUnit val="50"/>
        <c:minorUnit val="10"/>
      </c:valAx>
      <c:valAx>
        <c:axId val="584472176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TDOA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873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23647298518589"/>
          <c:y val="0.16343380515200695"/>
          <c:w val="0.23896157215951852"/>
          <c:h val="0.48721915397451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TDOA vs. Layer height</a:t>
            </a:r>
          </a:p>
          <a:p>
            <a:pPr>
              <a:defRPr/>
            </a:pPr>
            <a:r>
              <a:rPr lang="en-US"/>
              <a:t>N5DUP-W3USR 2363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22595754207423"/>
          <c:y val="0.23153846153846153"/>
          <c:w val="0.65144307224360087"/>
          <c:h val="0.526545864459250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3F2-2F2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Sheet1!$AE$4:$AE$10</c:f>
              <c:numCache>
                <c:formatCode>0.00</c:formatCode>
                <c:ptCount val="7"/>
                <c:pt idx="0">
                  <c:v>0.63541760414932291</c:v>
                </c:pt>
                <c:pt idx="1">
                  <c:v>0.76666881920976238</c:v>
                </c:pt>
                <c:pt idx="2">
                  <c:v>0.90576686802708473</c:v>
                </c:pt>
                <c:pt idx="3">
                  <c:v>1.0516604427957024</c:v>
                </c:pt>
                <c:pt idx="4">
                  <c:v>1.2033929938383832</c:v>
                </c:pt>
                <c:pt idx="5">
                  <c:v>1.3601059623885465</c:v>
                </c:pt>
                <c:pt idx="6">
                  <c:v>1.5210375021815512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FB-4B67-B79F-CBABFE81122D}"/>
            </c:ext>
          </c:extLst>
        </c:ser>
        <c:ser>
          <c:idx val="3"/>
          <c:order val="1"/>
          <c:tx>
            <c:strRef>
              <c:f>Sheet1!$AG$1</c:f>
              <c:strCache>
                <c:ptCount val="1"/>
                <c:pt idx="0">
                  <c:v>2F2-2E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Sheet1!$AG$4:$AG$10</c:f>
              <c:numCache>
                <c:formatCode>0.00</c:formatCode>
                <c:ptCount val="7"/>
                <c:pt idx="0">
                  <c:v>0.4938979098549936</c:v>
                </c:pt>
                <c:pt idx="1">
                  <c:v>0.63039968575010974</c:v>
                </c:pt>
                <c:pt idx="2">
                  <c:v>0.77737105784566474</c:v>
                </c:pt>
                <c:pt idx="3">
                  <c:v>0.93429885700109061</c:v>
                </c:pt>
                <c:pt idx="4">
                  <c:v>1.100671469342231</c:v>
                </c:pt>
                <c:pt idx="5">
                  <c:v>1.2759840214345868</c:v>
                </c:pt>
                <c:pt idx="6">
                  <c:v>1.4597426677823933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FB-4B67-B79F-CBABFE81122D}"/>
            </c:ext>
          </c:extLst>
        </c:ser>
        <c:ser>
          <c:idx val="1"/>
          <c:order val="2"/>
          <c:tx>
            <c:strRef>
              <c:f>Sheet1!$AD$1</c:f>
              <c:strCache>
                <c:ptCount val="1"/>
                <c:pt idx="0">
                  <c:v>2F2-1F2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Sheet1!$AD$4:$AD$10</c:f>
              <c:numCache>
                <c:formatCode>0.00</c:formatCode>
                <c:ptCount val="7"/>
                <c:pt idx="0">
                  <c:v>0.41250036679485902</c:v>
                </c:pt>
                <c:pt idx="1">
                  <c:v>0.50183822757207786</c:v>
                </c:pt>
                <c:pt idx="2">
                  <c:v>0.59854386611517363</c:v>
                </c:pt>
                <c:pt idx="3">
                  <c:v>0.70216051524859857</c:v>
                </c:pt>
                <c:pt idx="4">
                  <c:v>0.8122348965071744</c:v>
                </c:pt>
                <c:pt idx="5">
                  <c:v>0.92832213482951076</c:v>
                </c:pt>
                <c:pt idx="6">
                  <c:v>1.0499897814009085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FB-4B67-B79F-CBABFE81122D}"/>
            </c:ext>
          </c:extLst>
        </c:ser>
        <c:ser>
          <c:idx val="2"/>
          <c:order val="3"/>
          <c:tx>
            <c:strRef>
              <c:f>Sheet1!$AF$1</c:f>
              <c:strCache>
                <c:ptCount val="1"/>
                <c:pt idx="0">
                  <c:v>1F2-1E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Sheet1!$AF$4:$AF$10</c:f>
              <c:numCache>
                <c:formatCode>0.00</c:formatCode>
                <c:ptCount val="7"/>
                <c:pt idx="0">
                  <c:v>0.1815785040220792</c:v>
                </c:pt>
                <c:pt idx="1">
                  <c:v>0.2287424191399765</c:v>
                </c:pt>
                <c:pt idx="2">
                  <c:v>0.27900815269243573</c:v>
                </c:pt>
                <c:pt idx="3">
                  <c:v>0.33231930271443666</c:v>
                </c:pt>
                <c:pt idx="4">
                  <c:v>0.38861753379700126</c:v>
                </c:pt>
                <c:pt idx="5">
                  <c:v>0.44784284756702064</c:v>
                </c:pt>
                <c:pt idx="6">
                  <c:v>0.50993384734342939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FB-4B67-B79F-CBABFE81122D}"/>
            </c:ext>
          </c:extLst>
        </c:ser>
        <c:ser>
          <c:idx val="4"/>
          <c:order val="4"/>
          <c:tx>
            <c:strRef>
              <c:f>Sheet1!$AH$1</c:f>
              <c:strCache>
                <c:ptCount val="1"/>
                <c:pt idx="0">
                  <c:v>2E-1E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Sheet1!$AH$4:$AH$11</c:f>
              <c:numCache>
                <c:formatCode>0.00</c:formatCode>
                <c:ptCount val="8"/>
                <c:pt idx="0">
                  <c:v>0.10018096096194462</c:v>
                </c:pt>
                <c:pt idx="1">
                  <c:v>0.10018096096194462</c:v>
                </c:pt>
                <c:pt idx="2">
                  <c:v>0.10018096096194462</c:v>
                </c:pt>
                <c:pt idx="3">
                  <c:v>0.10018096096194462</c:v>
                </c:pt>
                <c:pt idx="4">
                  <c:v>0.10018096096194462</c:v>
                </c:pt>
                <c:pt idx="5">
                  <c:v>0.10018096096194462</c:v>
                </c:pt>
                <c:pt idx="6">
                  <c:v>0.10018096096194462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FB-4B67-B79F-CBABFE811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78736"/>
        <c:axId val="584472176"/>
      </c:scatterChart>
      <c:valAx>
        <c:axId val="584478736"/>
        <c:scaling>
          <c:orientation val="minMax"/>
          <c:max val="4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F2 Layer Height - km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Virtual Height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2176"/>
        <c:crosses val="autoZero"/>
        <c:crossBetween val="midCat"/>
        <c:majorUnit val="50"/>
        <c:minorUnit val="10"/>
      </c:valAx>
      <c:valAx>
        <c:axId val="58447217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TDOA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873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92395891405336"/>
          <c:y val="0.35359882899252976"/>
          <c:w val="0.26133768365385424"/>
          <c:h val="0.35156496062992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1-Hop Skip Distance vs. Layer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'Max 1-hop'!$B$1:$B$2</c:f>
              <c:strCache>
                <c:ptCount val="2"/>
                <c:pt idx="0">
                  <c:v>Max 1-hop</c:v>
                </c:pt>
                <c:pt idx="1">
                  <c:v>Gnd D-km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'Max 1-hop'!$A$3:$A$23</c:f>
              <c:numCache>
                <c:formatCode>General</c:formatCode>
                <c:ptCount val="2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</c:numCache>
            </c:numRef>
          </c:xVal>
          <c:yVal>
            <c:numRef>
              <c:f>'Max 1-hop'!$B$3:$B$23</c:f>
              <c:numCache>
                <c:formatCode>0</c:formatCode>
                <c:ptCount val="21"/>
                <c:pt idx="0">
                  <c:v>0</c:v>
                </c:pt>
                <c:pt idx="1">
                  <c:v>1127.5846853954656</c:v>
                </c:pt>
                <c:pt idx="2">
                  <c:v>1592.0565542887389</c:v>
                </c:pt>
                <c:pt idx="3">
                  <c:v>1946.7081140094199</c:v>
                </c:pt>
                <c:pt idx="4">
                  <c:v>2244.2400229472796</c:v>
                </c:pt>
                <c:pt idx="5">
                  <c:v>2505.1040331939666</c:v>
                </c:pt>
                <c:pt idx="6">
                  <c:v>2739.8083823527236</c:v>
                </c:pt>
                <c:pt idx="7">
                  <c:v>2954.6069415598331</c:v>
                </c:pt>
                <c:pt idx="8">
                  <c:v>3153.5820018706017</c:v>
                </c:pt>
                <c:pt idx="9">
                  <c:v>3339.5744270557761</c:v>
                </c:pt>
                <c:pt idx="10">
                  <c:v>3514.6565279058213</c:v>
                </c:pt>
                <c:pt idx="11">
                  <c:v>3680.3957023079779</c:v>
                </c:pt>
                <c:pt idx="12">
                  <c:v>3838.0119928861131</c:v>
                </c:pt>
                <c:pt idx="13">
                  <c:v>3988.477505610289</c:v>
                </c:pt>
                <c:pt idx="14">
                  <c:v>4132.5819493138433</c:v>
                </c:pt>
                <c:pt idx="15">
                  <c:v>4270.9774271674942</c:v>
                </c:pt>
                <c:pt idx="16">
                  <c:v>4404.2099881130362</c:v>
                </c:pt>
                <c:pt idx="17">
                  <c:v>4532.7424314224281</c:v>
                </c:pt>
                <c:pt idx="18">
                  <c:v>4656.9711590344486</c:v>
                </c:pt>
                <c:pt idx="19">
                  <c:v>4777.2388723209979</c:v>
                </c:pt>
                <c:pt idx="20">
                  <c:v>4893.8443019480974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4A-AE4D-B2BD-6C0EA2206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728432"/>
        <c:axId val="969730112"/>
      </c:scatterChart>
      <c:scatterChart>
        <c:scatterStyle val="smoothMarker"/>
        <c:varyColors val="0"/>
        <c:ser>
          <c:idx val="1"/>
          <c:order val="1"/>
          <c:tx>
            <c:strRef>
              <c:f>'Max 1-hop'!$C$1:$C$2</c:f>
              <c:strCache>
                <c:ptCount val="2"/>
                <c:pt idx="0">
                  <c:v>Max 1-hop</c:v>
                </c:pt>
                <c:pt idx="1">
                  <c:v>Gnd D-mi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'Max 1-hop'!$A$3:$A$23</c:f>
              <c:numCache>
                <c:formatCode>General</c:formatCode>
                <c:ptCount val="2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400</c:v>
                </c:pt>
                <c:pt idx="17">
                  <c:v>425</c:v>
                </c:pt>
                <c:pt idx="18">
                  <c:v>450</c:v>
                </c:pt>
                <c:pt idx="19">
                  <c:v>475</c:v>
                </c:pt>
                <c:pt idx="20">
                  <c:v>500</c:v>
                </c:pt>
              </c:numCache>
            </c:numRef>
          </c:xVal>
          <c:yVal>
            <c:numRef>
              <c:f>'Max 1-hop'!$C$3:$C$23</c:f>
              <c:numCache>
                <c:formatCode>0</c:formatCode>
                <c:ptCount val="21"/>
                <c:pt idx="0">
                  <c:v>0</c:v>
                </c:pt>
                <c:pt idx="1">
                  <c:v>700.65038176859184</c:v>
                </c:pt>
                <c:pt idx="2">
                  <c:v>989.26053803965533</c:v>
                </c:pt>
                <c:pt idx="3">
                  <c:v>1209.6313482604173</c:v>
                </c:pt>
                <c:pt idx="4">
                  <c:v>1394.5095647577762</c:v>
                </c:pt>
                <c:pt idx="5">
                  <c:v>1556.6033486982035</c:v>
                </c:pt>
                <c:pt idx="6">
                  <c:v>1702.4422324385919</c:v>
                </c:pt>
                <c:pt idx="7">
                  <c:v>1835.9122010015492</c:v>
                </c:pt>
                <c:pt idx="8">
                  <c:v>1959.5498787519118</c:v>
                </c:pt>
                <c:pt idx="9">
                  <c:v>2075.1205009853579</c:v>
                </c:pt>
                <c:pt idx="10">
                  <c:v>2183.911745128948</c:v>
                </c:pt>
                <c:pt idx="11">
                  <c:v>2286.8975494972956</c:v>
                </c:pt>
                <c:pt idx="12">
                  <c:v>2384.8360153144226</c:v>
                </c:pt>
                <c:pt idx="13">
                  <c:v>2478.3311827272601</c:v>
                </c:pt>
                <c:pt idx="14">
                  <c:v>2567.8737552747357</c:v>
                </c:pt>
                <c:pt idx="15">
                  <c:v>2653.8689320886165</c:v>
                </c:pt>
                <c:pt idx="16">
                  <c:v>2736.6560130942103</c:v>
                </c:pt>
                <c:pt idx="17">
                  <c:v>2816.5225691416531</c:v>
                </c:pt>
                <c:pt idx="18">
                  <c:v>2893.7149135884579</c:v>
                </c:pt>
                <c:pt idx="19">
                  <c:v>2968.4459917239351</c:v>
                </c:pt>
                <c:pt idx="20">
                  <c:v>3040.9014266395525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4A-AE4D-B2BD-6C0EA2206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565440"/>
        <c:axId val="972109488"/>
      </c:scatterChart>
      <c:valAx>
        <c:axId val="969728432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730112"/>
        <c:crosses val="autoZero"/>
        <c:crossBetween val="midCat"/>
      </c:valAx>
      <c:valAx>
        <c:axId val="9697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>
                        <a:lumMod val="75000"/>
                      </a:schemeClr>
                    </a:solidFill>
                  </a:rPr>
                  <a:t>Maximum Distance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728432"/>
        <c:crosses val="autoZero"/>
        <c:crossBetween val="midCat"/>
      </c:valAx>
      <c:valAx>
        <c:axId val="972109488"/>
        <c:scaling>
          <c:orientation val="minMax"/>
          <c:max val="300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65440"/>
        <c:crosses val="max"/>
        <c:crossBetween val="midCat"/>
      </c:valAx>
      <c:valAx>
        <c:axId val="97056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210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TDOA vs. Layer Height Fit Check</a:t>
            </a:r>
          </a:p>
          <a:p>
            <a:pPr>
              <a:defRPr/>
            </a:pPr>
            <a:r>
              <a:rPr lang="en-US"/>
              <a:t>N5DUP-W3USR 2363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22595754207423"/>
          <c:y val="0.23153846153846153"/>
          <c:w val="0.65144307224360087"/>
          <c:h val="0.526545864459250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3F2-2F2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Sheet1!$AE$4:$AE$10</c:f>
              <c:numCache>
                <c:formatCode>0.00</c:formatCode>
                <c:ptCount val="7"/>
                <c:pt idx="0">
                  <c:v>0.63541760414932291</c:v>
                </c:pt>
                <c:pt idx="1">
                  <c:v>0.76666881920976238</c:v>
                </c:pt>
                <c:pt idx="2">
                  <c:v>0.90576686802708473</c:v>
                </c:pt>
                <c:pt idx="3">
                  <c:v>1.0516604427957024</c:v>
                </c:pt>
                <c:pt idx="4">
                  <c:v>1.2033929938383832</c:v>
                </c:pt>
                <c:pt idx="5">
                  <c:v>1.3601059623885465</c:v>
                </c:pt>
                <c:pt idx="6">
                  <c:v>1.5210375021815512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92-49CA-A38E-CE6234068563}"/>
            </c:ext>
          </c:extLst>
        </c:ser>
        <c:ser>
          <c:idx val="3"/>
          <c:order val="1"/>
          <c:tx>
            <c:strRef>
              <c:f>Sheet1!$AG$1</c:f>
              <c:strCache>
                <c:ptCount val="1"/>
                <c:pt idx="0">
                  <c:v>2F2-2E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Sheet1!$AG$4:$AG$10</c:f>
              <c:numCache>
                <c:formatCode>0.00</c:formatCode>
                <c:ptCount val="7"/>
                <c:pt idx="0">
                  <c:v>0.4938979098549936</c:v>
                </c:pt>
                <c:pt idx="1">
                  <c:v>0.63039968575010974</c:v>
                </c:pt>
                <c:pt idx="2">
                  <c:v>0.77737105784566474</c:v>
                </c:pt>
                <c:pt idx="3">
                  <c:v>0.93429885700109061</c:v>
                </c:pt>
                <c:pt idx="4">
                  <c:v>1.100671469342231</c:v>
                </c:pt>
                <c:pt idx="5">
                  <c:v>1.2759840214345868</c:v>
                </c:pt>
                <c:pt idx="6">
                  <c:v>1.4597426677823933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92-49CA-A38E-CE6234068563}"/>
            </c:ext>
          </c:extLst>
        </c:ser>
        <c:ser>
          <c:idx val="1"/>
          <c:order val="2"/>
          <c:tx>
            <c:strRef>
              <c:f>Sheet1!$AD$1</c:f>
              <c:strCache>
                <c:ptCount val="1"/>
                <c:pt idx="0">
                  <c:v>2F2-1F2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Sheet1!$AD$4:$AD$10</c:f>
              <c:numCache>
                <c:formatCode>0.00</c:formatCode>
                <c:ptCount val="7"/>
                <c:pt idx="0">
                  <c:v>0.41250036679485902</c:v>
                </c:pt>
                <c:pt idx="1">
                  <c:v>0.50183822757207786</c:v>
                </c:pt>
                <c:pt idx="2">
                  <c:v>0.59854386611517363</c:v>
                </c:pt>
                <c:pt idx="3">
                  <c:v>0.70216051524859857</c:v>
                </c:pt>
                <c:pt idx="4">
                  <c:v>0.8122348965071744</c:v>
                </c:pt>
                <c:pt idx="5">
                  <c:v>0.92832213482951076</c:v>
                </c:pt>
                <c:pt idx="6">
                  <c:v>1.0499897814009085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92-49CA-A38E-CE6234068563}"/>
            </c:ext>
          </c:extLst>
        </c:ser>
        <c:ser>
          <c:idx val="2"/>
          <c:order val="3"/>
          <c:tx>
            <c:strRef>
              <c:f>Sheet1!$AF$1</c:f>
              <c:strCache>
                <c:ptCount val="1"/>
                <c:pt idx="0">
                  <c:v>1F2-1E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Sheet1!$AF$4:$AF$10</c:f>
              <c:numCache>
                <c:formatCode>0.00</c:formatCode>
                <c:ptCount val="7"/>
                <c:pt idx="0">
                  <c:v>0.1815785040220792</c:v>
                </c:pt>
                <c:pt idx="1">
                  <c:v>0.2287424191399765</c:v>
                </c:pt>
                <c:pt idx="2">
                  <c:v>0.27900815269243573</c:v>
                </c:pt>
                <c:pt idx="3">
                  <c:v>0.33231930271443666</c:v>
                </c:pt>
                <c:pt idx="4">
                  <c:v>0.38861753379700126</c:v>
                </c:pt>
                <c:pt idx="5">
                  <c:v>0.44784284756702064</c:v>
                </c:pt>
                <c:pt idx="6">
                  <c:v>0.50993384734342939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92-49CA-A38E-CE6234068563}"/>
            </c:ext>
          </c:extLst>
        </c:ser>
        <c:ser>
          <c:idx val="4"/>
          <c:order val="4"/>
          <c:tx>
            <c:strRef>
              <c:f>Sheet1!$AH$1</c:f>
              <c:strCache>
                <c:ptCount val="1"/>
                <c:pt idx="0">
                  <c:v>2E-1E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Sheet1!$S$4:$S$10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Sheet1!$AH$4:$AH$11</c:f>
              <c:numCache>
                <c:formatCode>0.00</c:formatCode>
                <c:ptCount val="8"/>
                <c:pt idx="0">
                  <c:v>0.10018096096194462</c:v>
                </c:pt>
                <c:pt idx="1">
                  <c:v>0.10018096096194462</c:v>
                </c:pt>
                <c:pt idx="2">
                  <c:v>0.10018096096194462</c:v>
                </c:pt>
                <c:pt idx="3">
                  <c:v>0.10018096096194462</c:v>
                </c:pt>
                <c:pt idx="4">
                  <c:v>0.10018096096194462</c:v>
                </c:pt>
                <c:pt idx="5">
                  <c:v>0.10018096096194462</c:v>
                </c:pt>
                <c:pt idx="6">
                  <c:v>0.10018096096194462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92-49CA-A38E-CE6234068563}"/>
            </c:ext>
          </c:extLst>
        </c:ser>
        <c:ser>
          <c:idx val="5"/>
          <c:order val="5"/>
          <c:tx>
            <c:strRef>
              <c:f>'Max 1-hop'!$D$11</c:f>
              <c:strCache>
                <c:ptCount val="1"/>
                <c:pt idx="0">
                  <c:v>1F2-1E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'Max 1-hop'!$A$12:$A$18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'Max 1-hop'!$D$12:$D$18</c:f>
              <c:numCache>
                <c:formatCode>0.00</c:formatCode>
                <c:ptCount val="7"/>
                <c:pt idx="0">
                  <c:v>0.17491749174917492</c:v>
                </c:pt>
                <c:pt idx="1">
                  <c:v>0.22992299229922991</c:v>
                </c:pt>
                <c:pt idx="2">
                  <c:v>0.28492849284928495</c:v>
                </c:pt>
                <c:pt idx="3">
                  <c:v>0.33993399339933994</c:v>
                </c:pt>
                <c:pt idx="4">
                  <c:v>0.39493949394939493</c:v>
                </c:pt>
                <c:pt idx="5">
                  <c:v>0.44994499449944997</c:v>
                </c:pt>
                <c:pt idx="6">
                  <c:v>0.50495049504950495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92-49CA-A38E-CE6234068563}"/>
            </c:ext>
          </c:extLst>
        </c:ser>
        <c:ser>
          <c:idx val="6"/>
          <c:order val="6"/>
          <c:tx>
            <c:strRef>
              <c:f>'Max 1-hop'!$E$11</c:f>
              <c:strCache>
                <c:ptCount val="1"/>
                <c:pt idx="0">
                  <c:v>2F2-2E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'Max 1-hop'!$A$12:$A$18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'Max 1-hop'!$E$12:$E$18</c:f>
              <c:numCache>
                <c:formatCode>0.00</c:formatCode>
                <c:ptCount val="7"/>
                <c:pt idx="0">
                  <c:v>0.46505551926845196</c:v>
                </c:pt>
                <c:pt idx="1">
                  <c:v>0.62834748530372297</c:v>
                </c:pt>
                <c:pt idx="2">
                  <c:v>0.79163945133899405</c:v>
                </c:pt>
                <c:pt idx="3">
                  <c:v>0.95493141737426512</c:v>
                </c:pt>
                <c:pt idx="4">
                  <c:v>1.1182233834095363</c:v>
                </c:pt>
                <c:pt idx="5">
                  <c:v>1.2815153494448073</c:v>
                </c:pt>
                <c:pt idx="6">
                  <c:v>1.4448073154800785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92-49CA-A38E-CE6234068563}"/>
            </c:ext>
          </c:extLst>
        </c:ser>
        <c:ser>
          <c:idx val="7"/>
          <c:order val="7"/>
          <c:tx>
            <c:strRef>
              <c:f>'Max 1-hop'!$F$11</c:f>
              <c:strCache>
                <c:ptCount val="1"/>
                <c:pt idx="0">
                  <c:v>3F2-2F2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'Max 1-hop'!$A$12:$A$18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'Max 1-hop'!$F$12:$F$18</c:f>
              <c:numCache>
                <c:formatCode>0.00</c:formatCode>
                <c:ptCount val="7"/>
                <c:pt idx="0">
                  <c:v>0.6224188790560472</c:v>
                </c:pt>
                <c:pt idx="1">
                  <c:v>0.76991150442477874</c:v>
                </c:pt>
                <c:pt idx="2">
                  <c:v>0.91740412979351027</c:v>
                </c:pt>
                <c:pt idx="3">
                  <c:v>1.0648967551622419</c:v>
                </c:pt>
                <c:pt idx="4">
                  <c:v>1.2123893805309736</c:v>
                </c:pt>
                <c:pt idx="5">
                  <c:v>1.359882005899705</c:v>
                </c:pt>
                <c:pt idx="6">
                  <c:v>1.5073746312684366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92-49CA-A38E-CE6234068563}"/>
            </c:ext>
          </c:extLst>
        </c:ser>
        <c:ser>
          <c:idx val="8"/>
          <c:order val="8"/>
          <c:tx>
            <c:strRef>
              <c:f>'Max 1-hop'!$G$12</c:f>
              <c:strCache>
                <c:ptCount val="1"/>
                <c:pt idx="0">
                  <c:v>0.39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'Max 1-hop'!$A$12:$A$18</c:f>
              <c:numCache>
                <c:formatCode>General</c:formatCode>
                <c:ptCount val="7"/>
                <c:pt idx="0">
                  <c:v>225</c:v>
                </c:pt>
                <c:pt idx="1">
                  <c:v>250</c:v>
                </c:pt>
                <c:pt idx="2">
                  <c:v>275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  <c:pt idx="6">
                  <c:v>375</c:v>
                </c:pt>
              </c:numCache>
            </c:numRef>
          </c:xVal>
          <c:yVal>
            <c:numRef>
              <c:f>'Max 1-hop'!$G$12:$G$18</c:f>
              <c:numCache>
                <c:formatCode>0.00</c:formatCode>
                <c:ptCount val="7"/>
                <c:pt idx="0">
                  <c:v>0.39251934651762688</c:v>
                </c:pt>
                <c:pt idx="1">
                  <c:v>0.50000000000000011</c:v>
                </c:pt>
                <c:pt idx="2">
                  <c:v>0.60748065348237323</c:v>
                </c:pt>
                <c:pt idx="3">
                  <c:v>0.71496130696474636</c:v>
                </c:pt>
                <c:pt idx="4">
                  <c:v>0.82244196044711959</c:v>
                </c:pt>
                <c:pt idx="5">
                  <c:v>0.92992261392949271</c:v>
                </c:pt>
                <c:pt idx="6">
                  <c:v>1.0374032674118658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92-49CA-A38E-CE6234068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78736"/>
        <c:axId val="584472176"/>
      </c:scatterChart>
      <c:valAx>
        <c:axId val="584478736"/>
        <c:scaling>
          <c:orientation val="minMax"/>
          <c:max val="4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F2 Layer Height - km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Virtual Height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2176"/>
        <c:crosses val="autoZero"/>
        <c:crossBetween val="midCat"/>
        <c:majorUnit val="50"/>
        <c:minorUnit val="10"/>
      </c:valAx>
      <c:valAx>
        <c:axId val="58447217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TDOA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78736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78775466714339"/>
          <c:y val="0.44334251968503935"/>
          <c:w val="0.15018083547064912"/>
          <c:h val="0.556657581263880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jpe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40532</xdr:colOff>
      <xdr:row>15</xdr:row>
      <xdr:rowOff>129703</xdr:rowOff>
    </xdr:from>
    <xdr:to>
      <xdr:col>46</xdr:col>
      <xdr:colOff>26312</xdr:colOff>
      <xdr:row>30</xdr:row>
      <xdr:rowOff>129703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66F8D0-3732-9847-8474-A7FC31222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835660</xdr:colOff>
      <xdr:row>36</xdr:row>
      <xdr:rowOff>25400</xdr:rowOff>
    </xdr:from>
    <xdr:to>
      <xdr:col>30</xdr:col>
      <xdr:colOff>818198</xdr:colOff>
      <xdr:row>51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9596FA-184A-0E4E-82A1-A0B014B3A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27939</xdr:colOff>
      <xdr:row>9</xdr:row>
      <xdr:rowOff>186447</xdr:rowOff>
    </xdr:from>
    <xdr:to>
      <xdr:col>17</xdr:col>
      <xdr:colOff>16212</xdr:colOff>
      <xdr:row>24</xdr:row>
      <xdr:rowOff>162128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BAA33A-6451-FB4B-B8AE-21AC4DE02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830580</xdr:colOff>
      <xdr:row>0</xdr:row>
      <xdr:rowOff>76200</xdr:rowOff>
    </xdr:from>
    <xdr:to>
      <xdr:col>45</xdr:col>
      <xdr:colOff>813118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75A462-0DBE-4729-B5A2-723626F95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299935</xdr:colOff>
      <xdr:row>10</xdr:row>
      <xdr:rowOff>121596</xdr:rowOff>
    </xdr:from>
    <xdr:to>
      <xdr:col>10</xdr:col>
      <xdr:colOff>575880</xdr:colOff>
      <xdr:row>25</xdr:row>
      <xdr:rowOff>166211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7BE7D1-53B1-4750-A4FD-33AD376AC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7275" y="2067128"/>
          <a:ext cx="5285690" cy="2962913"/>
        </a:xfrm>
        <a:prstGeom prst="rect">
          <a:avLst/>
        </a:prstGeom>
      </xdr:spPr>
    </xdr:pic>
    <xdr:clientData/>
  </xdr:twoCellAnchor>
  <xdr:twoCellAnchor editAs="oneCell">
    <xdr:from>
      <xdr:col>0</xdr:col>
      <xdr:colOff>324256</xdr:colOff>
      <xdr:row>10</xdr:row>
      <xdr:rowOff>64851</xdr:rowOff>
    </xdr:from>
    <xdr:to>
      <xdr:col>4</xdr:col>
      <xdr:colOff>132946</xdr:colOff>
      <xdr:row>26</xdr:row>
      <xdr:rowOff>102951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8DB062-F03B-92C4-6641-BCED260EF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256" y="2010383"/>
          <a:ext cx="3416030" cy="3150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64851</xdr:colOff>
      <xdr:row>16</xdr:row>
      <xdr:rowOff>178341</xdr:rowOff>
    </xdr:from>
    <xdr:ext cx="392415" cy="530658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08507C1-4993-82CE-95DC-82FAE776F41D}"/>
            </a:ext>
          </a:extLst>
        </xdr:cNvPr>
        <xdr:cNvSpPr txBox="1"/>
      </xdr:nvSpPr>
      <xdr:spPr>
        <a:xfrm>
          <a:off x="64851" y="3291192"/>
          <a:ext cx="392415" cy="53065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A</a:t>
          </a:r>
        </a:p>
      </xdr:txBody>
    </xdr:sp>
    <xdr:clientData/>
  </xdr:oneCellAnchor>
  <xdr:oneCellAnchor>
    <xdr:from>
      <xdr:col>0</xdr:col>
      <xdr:colOff>84872</xdr:colOff>
      <xdr:row>4</xdr:row>
      <xdr:rowOff>130188</xdr:rowOff>
    </xdr:from>
    <xdr:ext cx="379976" cy="53065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A689BE2-1227-4EF5-B5E0-D04C55E3AC8C}"/>
            </a:ext>
          </a:extLst>
        </xdr:cNvPr>
        <xdr:cNvSpPr txBox="1"/>
      </xdr:nvSpPr>
      <xdr:spPr>
        <a:xfrm>
          <a:off x="84872" y="940826"/>
          <a:ext cx="379976" cy="53065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B</a:t>
          </a:r>
        </a:p>
      </xdr:txBody>
    </xdr:sp>
    <xdr:clientData/>
  </xdr:oneCellAnchor>
  <xdr:oneCellAnchor>
    <xdr:from>
      <xdr:col>4</xdr:col>
      <xdr:colOff>369083</xdr:colOff>
      <xdr:row>10</xdr:row>
      <xdr:rowOff>72959</xdr:rowOff>
    </xdr:from>
    <xdr:ext cx="376129" cy="53065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441C3F5-39EC-44CE-8D0B-2AEE839D5080}"/>
            </a:ext>
          </a:extLst>
        </xdr:cNvPr>
        <xdr:cNvSpPr txBox="1"/>
      </xdr:nvSpPr>
      <xdr:spPr>
        <a:xfrm>
          <a:off x="3996689" y="2099555"/>
          <a:ext cx="376129" cy="53065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C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0.70594</cdr:x>
      <cdr:y>0.25014</cdr:y>
    </cdr:from>
    <cdr:to>
      <cdr:x>0.94659</cdr:x>
      <cdr:y>0.32787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7B549FF-F437-133D-7543-F961ED01DC99}"/>
            </a:ext>
          </a:extLst>
        </cdr:cNvPr>
        <cdr:cNvSpPr txBox="1"/>
      </cdr:nvSpPr>
      <cdr:spPr>
        <a:xfrm xmlns:a="http://schemas.openxmlformats.org/drawingml/2006/main">
          <a:off x="3528297" y="723900"/>
          <a:ext cx="1202772" cy="224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solidFill>
                <a:schemeClr val="tx1">
                  <a:lumMod val="50000"/>
                  <a:lumOff val="50000"/>
                </a:schemeClr>
              </a:solidFill>
            </a:rPr>
            <a:t>Ht = 79.4*TDOA + 85.6</a:t>
          </a:r>
        </a:p>
      </cdr:txBody>
    </cdr:sp>
  </cdr:relSizeAnchor>
  <cdr:relSizeAnchor xmlns:cdr="http://schemas.openxmlformats.org/drawingml/2006/chartDrawing">
    <cdr:from>
      <cdr:x>0.70485</cdr:x>
      <cdr:y>0.41542</cdr:y>
    </cdr:from>
    <cdr:to>
      <cdr:x>0.95641</cdr:x>
      <cdr:y>0.48863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3D2EDC9-046E-403D-918F-F00A524A55BA}"/>
            </a:ext>
          </a:extLst>
        </cdr:cNvPr>
        <cdr:cNvSpPr txBox="1"/>
      </cdr:nvSpPr>
      <cdr:spPr>
        <a:xfrm xmlns:a="http://schemas.openxmlformats.org/drawingml/2006/main">
          <a:off x="3522839" y="1202221"/>
          <a:ext cx="1257301" cy="2118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chemeClr val="tx1">
                  <a:lumMod val="50000"/>
                  <a:lumOff val="50000"/>
                </a:schemeClr>
              </a:solidFill>
            </a:rPr>
            <a:t>Ht = 140.2*TDOA + 48.3</a:t>
          </a:r>
        </a:p>
      </cdr:txBody>
    </cdr:sp>
  </cdr:relSizeAnchor>
  <cdr:relSizeAnchor xmlns:cdr="http://schemas.openxmlformats.org/drawingml/2006/chartDrawing">
    <cdr:from>
      <cdr:x>0.70971</cdr:x>
      <cdr:y>0.56275</cdr:y>
    </cdr:from>
    <cdr:to>
      <cdr:x>0.96127</cdr:x>
      <cdr:y>0.63596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1EB5D91-D4CB-BC33-7BF3-62F77B91F1A6}"/>
            </a:ext>
          </a:extLst>
        </cdr:cNvPr>
        <cdr:cNvSpPr txBox="1"/>
      </cdr:nvSpPr>
      <cdr:spPr>
        <a:xfrm xmlns:a="http://schemas.openxmlformats.org/drawingml/2006/main">
          <a:off x="3547158" y="1628587"/>
          <a:ext cx="1257301" cy="2118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chemeClr val="tx1">
                  <a:lumMod val="50000"/>
                  <a:lumOff val="50000"/>
                </a:schemeClr>
              </a:solidFill>
            </a:rPr>
            <a:t>Ht = 181.8*TDOA + 135.5</a:t>
          </a:r>
        </a:p>
      </cdr:txBody>
    </cdr:sp>
  </cdr:relSizeAnchor>
  <cdr:relSizeAnchor xmlns:cdr="http://schemas.openxmlformats.org/drawingml/2006/chartDrawing">
    <cdr:from>
      <cdr:x>0.34478</cdr:x>
      <cdr:y>0.69419</cdr:y>
    </cdr:from>
    <cdr:to>
      <cdr:x>0.71941</cdr:x>
      <cdr:y>0.77031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1EB5D91-D4CB-BC33-7BF3-62F77B91F1A6}"/>
            </a:ext>
          </a:extLst>
        </cdr:cNvPr>
        <cdr:cNvSpPr txBox="1"/>
      </cdr:nvSpPr>
      <cdr:spPr>
        <a:xfrm xmlns:a="http://schemas.openxmlformats.org/drawingml/2006/main">
          <a:off x="1723223" y="2008974"/>
          <a:ext cx="1872391" cy="2202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chemeClr val="tx1">
                  <a:lumMod val="50000"/>
                  <a:lumOff val="50000"/>
                </a:schemeClr>
              </a:solidFill>
            </a:rPr>
            <a:t>E-Layer from Ionosonde: 105</a:t>
          </a:r>
          <a:r>
            <a:rPr lang="en-US" sz="1000" baseline="0">
              <a:solidFill>
                <a:schemeClr val="tx1">
                  <a:lumMod val="50000"/>
                  <a:lumOff val="50000"/>
                </a:schemeClr>
              </a:solidFill>
            </a:rPr>
            <a:t> km </a:t>
          </a:r>
          <a:endParaRPr lang="en-US" sz="1000">
            <a:solidFill>
              <a:schemeClr val="tx1">
                <a:lumMod val="50000"/>
                <a:lumOff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0.01016</cdr:x>
      <cdr:y>0.01755</cdr:y>
    </cdr:from>
    <cdr:to>
      <cdr:x>0.09131</cdr:x>
      <cdr:y>0.20092</cdr:y>
    </cdr:to>
    <cdr:sp macro="" textlink="">
      <cdr:nvSpPr>
        <cdr:cNvPr id="7" name="TextBox 20">
          <a:extLst xmlns:a="http://schemas.openxmlformats.org/drawingml/2006/main">
            <a:ext uri="{FF2B5EF4-FFF2-40B4-BE49-F238E27FC236}">
              <a16:creationId xmlns:a16="http://schemas.microsoft.com/office/drawing/2014/main" id="{EA689BE2-1227-4EF5-B5E0-D04C55E3AC8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405560" cy="530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800"/>
            <a:t>D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</xdr:colOff>
      <xdr:row>15</xdr:row>
      <xdr:rowOff>83820</xdr:rowOff>
    </xdr:from>
    <xdr:to>
      <xdr:col>15</xdr:col>
      <xdr:colOff>474980</xdr:colOff>
      <xdr:row>28</xdr:row>
      <xdr:rowOff>185420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78411-93AB-B544-9A28-562C52760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0</xdr:row>
      <xdr:rowOff>7620</xdr:rowOff>
    </xdr:from>
    <xdr:to>
      <xdr:col>15</xdr:col>
      <xdr:colOff>835978</xdr:colOff>
      <xdr:row>15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C23A3E-6CC6-4ECB-BF02-6FCDD5AC9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0.89444</cdr:x>
      <cdr:y>0.06019</cdr:y>
    </cdr:from>
    <cdr:to>
      <cdr:x>0.99444</cdr:x>
      <cdr:y>0.13426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2FA68FC-A7D9-124A-B638-8C1F7475981F}"/>
            </a:ext>
          </a:extLst>
        </cdr:cNvPr>
        <cdr:cNvSpPr txBox="1"/>
      </cdr:nvSpPr>
      <cdr:spPr>
        <a:xfrm xmlns:a="http://schemas.openxmlformats.org/drawingml/2006/main">
          <a:off x="4089400" y="165100"/>
          <a:ext cx="45720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Miles</a:t>
          </a:r>
        </a:p>
      </cdr:txBody>
    </cdr:sp>
  </cdr:relSizeAnchor>
  <cdr:relSizeAnchor xmlns:cdr="http://schemas.openxmlformats.org/drawingml/2006/chartDrawing">
    <cdr:from>
      <cdr:x>0.61667</cdr:x>
      <cdr:y>0.21296</cdr:y>
    </cdr:from>
    <cdr:to>
      <cdr:x>0.71667</cdr:x>
      <cdr:y>0.28704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E543977A-18E5-364B-94C5-422AFE832E7B}"/>
            </a:ext>
          </a:extLst>
        </cdr:cNvPr>
        <cdr:cNvSpPr txBox="1"/>
      </cdr:nvSpPr>
      <cdr:spPr>
        <a:xfrm xmlns:a="http://schemas.openxmlformats.org/drawingml/2006/main">
          <a:off x="2819400" y="584200"/>
          <a:ext cx="45720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Miles</a:t>
          </a:r>
        </a:p>
      </cdr:txBody>
    </cdr:sp>
  </cdr:relSizeAnchor>
  <cdr:relSizeAnchor xmlns:cdr="http://schemas.openxmlformats.org/drawingml/2006/chartDrawing">
    <cdr:from>
      <cdr:x>0.64167</cdr:x>
      <cdr:y>0.35185</cdr:y>
    </cdr:from>
    <cdr:to>
      <cdr:x>0.74167</cdr:x>
      <cdr:y>0.42593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543977A-18E5-364B-94C5-422AFE832E7B}"/>
            </a:ext>
          </a:extLst>
        </cdr:cNvPr>
        <cdr:cNvSpPr txBox="1"/>
      </cdr:nvSpPr>
      <cdr:spPr>
        <a:xfrm xmlns:a="http://schemas.openxmlformats.org/drawingml/2006/main">
          <a:off x="2933700" y="965200"/>
          <a:ext cx="45720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km</a:t>
          </a:r>
        </a:p>
      </cdr:txBody>
    </cdr:sp>
  </cdr:relSizeAnchor>
  <cdr:relSizeAnchor xmlns:cdr="http://schemas.openxmlformats.org/drawingml/2006/chartDrawing">
    <cdr:from>
      <cdr:x>0.06389</cdr:x>
      <cdr:y>0.06019</cdr:y>
    </cdr:from>
    <cdr:to>
      <cdr:x>0.16389</cdr:x>
      <cdr:y>0.13426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3F6F946-554B-5940-9B7F-F8F0FD0DF9AF}"/>
            </a:ext>
          </a:extLst>
        </cdr:cNvPr>
        <cdr:cNvSpPr txBox="1"/>
      </cdr:nvSpPr>
      <cdr:spPr>
        <a:xfrm xmlns:a="http://schemas.openxmlformats.org/drawingml/2006/main">
          <a:off x="292100" y="165100"/>
          <a:ext cx="45720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km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AC9A-4792-C742-8B94-EBA21B7405F2}">
  <dimension ref="A1:BK203"/>
  <sheetViews>
    <sheetView tabSelected="1" zoomScaleNormal="100" workbookViewId="0">
      <selection activeCell="C4" sqref="C4"/>
    </sheetView>
  </sheetViews>
  <sheetFormatPr defaultColWidth="11" defaultRowHeight="15.6"/>
  <cols>
    <col min="2" max="2" width="14.5" customWidth="1"/>
    <col min="20" max="20" width="14.125" customWidth="1"/>
  </cols>
  <sheetData>
    <row r="1" spans="1:63">
      <c r="A1" t="s">
        <v>0</v>
      </c>
      <c r="B1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S1" t="s">
        <v>0</v>
      </c>
      <c r="T1" t="s">
        <v>1</v>
      </c>
      <c r="U1" s="6" t="s">
        <v>2</v>
      </c>
      <c r="V1" s="6" t="s">
        <v>3</v>
      </c>
      <c r="W1" s="6" t="s">
        <v>4</v>
      </c>
      <c r="X1" s="7" t="s">
        <v>5</v>
      </c>
      <c r="Y1" s="7" t="s">
        <v>6</v>
      </c>
      <c r="Z1" s="7" t="s">
        <v>7</v>
      </c>
      <c r="AA1" s="3" t="s">
        <v>8</v>
      </c>
      <c r="AB1" s="3" t="s">
        <v>9</v>
      </c>
      <c r="AC1" s="3" t="s">
        <v>10</v>
      </c>
      <c r="AD1" s="8" t="s">
        <v>11</v>
      </c>
      <c r="AE1" s="8" t="s">
        <v>12</v>
      </c>
      <c r="AF1" s="8" t="s">
        <v>13</v>
      </c>
      <c r="AG1" s="8" t="s">
        <v>14</v>
      </c>
      <c r="AH1" s="8" t="s">
        <v>15</v>
      </c>
      <c r="AI1" s="8" t="s">
        <v>17</v>
      </c>
      <c r="AU1" t="s">
        <v>0</v>
      </c>
      <c r="AV1" t="s">
        <v>1</v>
      </c>
      <c r="AW1" s="6" t="s">
        <v>2</v>
      </c>
      <c r="AX1" s="6" t="s">
        <v>3</v>
      </c>
      <c r="AY1" s="6" t="s">
        <v>4</v>
      </c>
      <c r="AZ1" s="7" t="s">
        <v>5</v>
      </c>
      <c r="BA1" s="7" t="s">
        <v>6</v>
      </c>
      <c r="BB1" s="7" t="s">
        <v>7</v>
      </c>
      <c r="BC1" s="3" t="s">
        <v>8</v>
      </c>
      <c r="BD1" s="3" t="s">
        <v>9</v>
      </c>
      <c r="BE1" s="3" t="s">
        <v>10</v>
      </c>
      <c r="BF1" s="8" t="s">
        <v>11</v>
      </c>
      <c r="BG1" s="8" t="s">
        <v>12</v>
      </c>
      <c r="BH1" s="8" t="s">
        <v>13</v>
      </c>
      <c r="BI1" s="8" t="s">
        <v>14</v>
      </c>
      <c r="BJ1" s="8" t="s">
        <v>15</v>
      </c>
      <c r="BK1" s="8" t="s">
        <v>17</v>
      </c>
    </row>
    <row r="2" spans="1:63">
      <c r="A2" t="s">
        <v>18</v>
      </c>
      <c r="B2" t="s">
        <v>19</v>
      </c>
      <c r="C2" s="6" t="s">
        <v>18</v>
      </c>
      <c r="D2" s="6" t="s">
        <v>18</v>
      </c>
      <c r="E2" s="6" t="s">
        <v>18</v>
      </c>
      <c r="F2" s="7" t="s">
        <v>20</v>
      </c>
      <c r="G2" s="7" t="s">
        <v>20</v>
      </c>
      <c r="H2" s="7" t="s">
        <v>20</v>
      </c>
      <c r="I2" s="3" t="s">
        <v>21</v>
      </c>
      <c r="J2" s="3" t="s">
        <v>21</v>
      </c>
      <c r="K2" s="3" t="s">
        <v>21</v>
      </c>
      <c r="L2" s="12" t="s">
        <v>15</v>
      </c>
      <c r="M2" s="12" t="s">
        <v>22</v>
      </c>
      <c r="N2" s="8" t="s">
        <v>23</v>
      </c>
      <c r="O2" s="8" t="s">
        <v>23</v>
      </c>
      <c r="P2" s="8" t="s">
        <v>23</v>
      </c>
      <c r="Q2" s="8" t="s">
        <v>23</v>
      </c>
      <c r="S2" t="s">
        <v>18</v>
      </c>
      <c r="T2" t="s">
        <v>24</v>
      </c>
      <c r="U2" s="6" t="s">
        <v>18</v>
      </c>
      <c r="V2" s="6" t="s">
        <v>18</v>
      </c>
      <c r="W2" s="6" t="s">
        <v>18</v>
      </c>
      <c r="X2" s="7" t="s">
        <v>20</v>
      </c>
      <c r="Y2" s="7" t="s">
        <v>20</v>
      </c>
      <c r="Z2" s="7" t="s">
        <v>20</v>
      </c>
      <c r="AA2" s="3" t="s">
        <v>21</v>
      </c>
      <c r="AB2" s="3" t="s">
        <v>21</v>
      </c>
      <c r="AC2" s="3" t="s">
        <v>21</v>
      </c>
      <c r="AD2" s="8" t="s">
        <v>25</v>
      </c>
      <c r="AE2" s="8" t="s">
        <v>25</v>
      </c>
      <c r="AF2" s="8" t="s">
        <v>25</v>
      </c>
      <c r="AG2" s="8" t="s">
        <v>25</v>
      </c>
      <c r="AH2" s="8" t="s">
        <v>25</v>
      </c>
      <c r="AI2" s="8" t="s">
        <v>25</v>
      </c>
      <c r="AU2" t="s">
        <v>18</v>
      </c>
      <c r="AV2" t="s">
        <v>26</v>
      </c>
      <c r="AW2" s="6" t="s">
        <v>18</v>
      </c>
      <c r="AX2" s="6" t="s">
        <v>18</v>
      </c>
      <c r="AY2" s="6" t="s">
        <v>18</v>
      </c>
      <c r="AZ2" s="7" t="s">
        <v>20</v>
      </c>
      <c r="BA2" s="7" t="s">
        <v>20</v>
      </c>
      <c r="BB2" s="7" t="s">
        <v>20</v>
      </c>
      <c r="BC2" s="3" t="s">
        <v>21</v>
      </c>
      <c r="BD2" s="3" t="s">
        <v>21</v>
      </c>
      <c r="BE2" s="3" t="s">
        <v>21</v>
      </c>
      <c r="BF2" s="8" t="s">
        <v>25</v>
      </c>
      <c r="BG2" s="8" t="s">
        <v>25</v>
      </c>
      <c r="BH2" s="8" t="s">
        <v>25</v>
      </c>
      <c r="BI2" s="8" t="s">
        <v>25</v>
      </c>
      <c r="BJ2" s="8" t="s">
        <v>25</v>
      </c>
      <c r="BK2" s="8" t="s">
        <v>25</v>
      </c>
    </row>
    <row r="3" spans="1:63">
      <c r="A3" s="12">
        <v>105</v>
      </c>
      <c r="B3" s="4">
        <v>407</v>
      </c>
      <c r="C3" s="9">
        <f t="shared" ref="C3:C10" si="0">2*SQRT(2*6378*(6378+A3)*(1-COS(B3/(2*6378)))+A3^2)</f>
        <v>460.93575402547361</v>
      </c>
      <c r="D3" s="9">
        <f t="shared" ref="D3:D10" si="1">4*SQRT(2*6378*(6378+A3)*(1-COS(B3/(4*6378)))+A3^2)</f>
        <v>587.17329819015458</v>
      </c>
      <c r="E3" s="9">
        <f>6*SQRT(2*6378*(6378+A3)*(1-COS(B3/(6*6378)))+A3^2)</f>
        <v>751.84736882784296</v>
      </c>
      <c r="F3" s="10">
        <f t="shared" ref="F3:F10" si="2">57.296*ACOS(C3/(4*6378)-2*A3/C3-A3^2/(C3*6378))-90</f>
        <v>26.185880898183029</v>
      </c>
      <c r="G3" s="10">
        <f t="shared" ref="G3:G10" si="3">57.296*ACOS(D3/(8*6378)-4*A3/D3-2*A3^2/(D3*6378))-90</f>
        <v>45.20871098834985</v>
      </c>
      <c r="H3" s="10">
        <f t="shared" ref="H3:H10" si="4">57.296*ACOS(E3/(12*6378)-6*A3/E3-3*A3^2/(E3*6378))-90</f>
        <v>56.617442362195703</v>
      </c>
      <c r="I3" s="11">
        <f t="shared" ref="I3:I10" si="5">C3/300</f>
        <v>1.5364525134182454</v>
      </c>
      <c r="J3" s="11">
        <f t="shared" ref="J3:J10" si="6">D3/300</f>
        <v>1.9572443273005153</v>
      </c>
      <c r="K3" s="11">
        <f t="shared" ref="K3:K10" si="7">E3/300</f>
        <v>2.5061578960928097</v>
      </c>
      <c r="L3" s="11">
        <f>J3-I3</f>
        <v>0.42079181388226994</v>
      </c>
      <c r="M3" s="11">
        <f>K3-J3</f>
        <v>0.54891356879229436</v>
      </c>
      <c r="N3" s="11" t="s">
        <v>27</v>
      </c>
      <c r="O3" s="12"/>
      <c r="P3" s="12"/>
      <c r="Q3" s="12"/>
      <c r="S3">
        <v>105</v>
      </c>
      <c r="T3" s="4">
        <v>2363</v>
      </c>
      <c r="U3" s="1">
        <f t="shared" ref="U3:U10" si="8">2*SQRT(2*6378*(6378+S3)*(1-COS(T3/(2*6378)))+S3^2)</f>
        <v>2388.2172425795443</v>
      </c>
      <c r="V3" s="1">
        <f t="shared" ref="V3:V10" si="9">4*SQRT(2*6378*(6378+S3)*(1-COS(T3/(4*6378)))+S3^2)</f>
        <v>2418.2715308681277</v>
      </c>
      <c r="W3" s="1">
        <f>6*SQRT(2*6378*(6378+S3)*(1-COS(T3/(6*6378)))+S3^2)</f>
        <v>2463.8974256383312</v>
      </c>
      <c r="X3" s="2">
        <f t="shared" ref="X3:X10" si="10">57.296*ACOS(U3/(4*6378)-2*S3/U3-S3^2/(U3*6378))-90</f>
        <v>-0.28361515917222846</v>
      </c>
      <c r="Y3" s="2">
        <f t="shared" ref="Y3:Y10" si="11">57.296*ACOS(V3/(8*6378)-4*S3/V3-2*S3^2/(V3*6378))-90</f>
        <v>7.3378065130397658</v>
      </c>
      <c r="Z3" s="2">
        <f t="shared" ref="Z3:Z10" si="12">57.296*ACOS(W3/(12*6378)-6*S3/W3-3*S3^2/(W3*6378))-90</f>
        <v>13.038824849130378</v>
      </c>
      <c r="AA3" s="5">
        <f t="shared" ref="AA3:AA10" si="13">U3/300</f>
        <v>7.9607241419318147</v>
      </c>
      <c r="AB3" s="5">
        <f t="shared" ref="AB3:AB10" si="14">V3/300</f>
        <v>8.0609051028937593</v>
      </c>
      <c r="AC3" s="5">
        <f t="shared" ref="AC3:AC10" si="15">W3/300</f>
        <v>8.2129914187944379</v>
      </c>
      <c r="AD3" s="5">
        <f>AB3-AA3</f>
        <v>0.10018096096194462</v>
      </c>
      <c r="AE3" s="5">
        <f>AC3-AB3</f>
        <v>0.15208631590067867</v>
      </c>
      <c r="AF3" s="5" t="s">
        <v>27</v>
      </c>
      <c r="AU3">
        <v>105</v>
      </c>
      <c r="AV3" s="4">
        <v>2480</v>
      </c>
      <c r="AW3" s="1">
        <f t="shared" ref="AW3:AW10" si="16">2*SQRT(2*6378*(6378+AU3)*(1-COS(AV3/(2*6378)))+AU3^2)</f>
        <v>2505.2117547210628</v>
      </c>
      <c r="AX3" s="1">
        <f t="shared" ref="AX3:AX10" si="17">4*SQRT(2*6378*(6378+AU3)*(1-COS(AV3/(4*6378)))+AU3^2)</f>
        <v>2534.3897941974074</v>
      </c>
      <c r="AY3" s="1">
        <f>6*SQRT(2*6378*(6378+AU3)*(1-COS(AV3/(6*6378)))+AU3^2)</f>
        <v>2578.0545713891579</v>
      </c>
      <c r="AZ3" s="2">
        <f t="shared" ref="AZ3:AZ10" si="18">57.296*ACOS(AW3/(4*6378)-2*AU3/AW3-AU3^2/(AW3*6378))-90</f>
        <v>-0.78360986917516584</v>
      </c>
      <c r="BA3" s="2">
        <f t="shared" ref="BA3:BA10" si="19">57.296*ACOS(AX3/(8*6378)-4*AU3/AX3-2*AU3^2/(AX3*6378))-90</f>
        <v>6.7432490966343721</v>
      </c>
      <c r="BB3" s="2">
        <f t="shared" ref="BB3:BB10" si="20">57.296*ACOS(AY3/(12*6378)-6*AU3/AY3-3*AU3^2/(AY3*6378))-90</f>
        <v>12.280880194550477</v>
      </c>
      <c r="BC3" s="5">
        <f t="shared" ref="BC3:BC10" si="21">AW3/300</f>
        <v>8.3507058490702093</v>
      </c>
      <c r="BD3" s="5">
        <f t="shared" ref="BD3:BD10" si="22">AX3/300</f>
        <v>8.4479659806580241</v>
      </c>
      <c r="BE3" s="5">
        <f t="shared" ref="BE3:BE10" si="23">AY3/300</f>
        <v>8.5935152379638602</v>
      </c>
      <c r="BF3" s="5">
        <f>BD3-BC3</f>
        <v>9.7260131587814769E-2</v>
      </c>
      <c r="BG3" s="5">
        <f>BE3-BD3</f>
        <v>0.14554925730583612</v>
      </c>
      <c r="BH3" s="5" t="s">
        <v>27</v>
      </c>
    </row>
    <row r="4" spans="1:63">
      <c r="A4">
        <v>225</v>
      </c>
      <c r="B4">
        <f>B3</f>
        <v>407</v>
      </c>
      <c r="C4" s="1">
        <f t="shared" si="0"/>
        <v>611.53751897940492</v>
      </c>
      <c r="D4" s="1">
        <f t="shared" si="1"/>
        <v>990.70129109674497</v>
      </c>
      <c r="E4" s="1">
        <f t="shared" ref="E4:E10" si="24">6*SQRT(2*6378*(6378+A4)*(1-COS(B4/(6*6378)))+A4^2)</f>
        <v>1412.0874862446024</v>
      </c>
      <c r="F4" s="2">
        <f t="shared" si="2"/>
        <v>46.457652258708038</v>
      </c>
      <c r="G4" s="2">
        <f t="shared" si="3"/>
        <v>64.831273095829715</v>
      </c>
      <c r="H4" s="2">
        <f t="shared" si="4"/>
        <v>72.639815599139013</v>
      </c>
      <c r="I4" s="5">
        <f t="shared" si="5"/>
        <v>2.0384583965980165</v>
      </c>
      <c r="J4" s="5">
        <f t="shared" si="6"/>
        <v>3.3023376369891499</v>
      </c>
      <c r="K4" s="5">
        <f t="shared" si="7"/>
        <v>4.7069582874820082</v>
      </c>
      <c r="L4" s="13">
        <f t="shared" ref="L4:L10" si="25">J4-I4</f>
        <v>1.2638792403911334</v>
      </c>
      <c r="M4" s="13">
        <f t="shared" ref="M4:M10" si="26">K4-J4</f>
        <v>1.4046206504928582</v>
      </c>
      <c r="N4" s="13">
        <f t="shared" ref="N4:N10" si="27">I4-$I$3</f>
        <v>0.50200588317977113</v>
      </c>
      <c r="O4" s="13">
        <f t="shared" ref="O4:O10" si="28">J4-$J$3</f>
        <v>1.3450933096886346</v>
      </c>
      <c r="P4" s="13">
        <f t="shared" ref="P4:P10" si="29">$J$3-$I$3</f>
        <v>0.42079181388226994</v>
      </c>
      <c r="Q4" s="13">
        <f t="shared" ref="Q4:Q10" si="30">J4-$I$3</f>
        <v>1.7658851235709045</v>
      </c>
      <c r="S4">
        <v>225</v>
      </c>
      <c r="T4">
        <f>T3</f>
        <v>2363</v>
      </c>
      <c r="U4" s="1">
        <f t="shared" si="8"/>
        <v>2442.6907937861683</v>
      </c>
      <c r="V4" s="1">
        <f t="shared" si="9"/>
        <v>2566.4409038246258</v>
      </c>
      <c r="W4" s="1">
        <f t="shared" ref="W4:W10" si="31">6*SQRT(2*6378*(6378+S4)*(1-COS(T4/(6*6378)))+S4^2)</f>
        <v>2757.0661850694228</v>
      </c>
      <c r="X4" s="2">
        <f t="shared" si="10"/>
        <v>5.2632654162999728</v>
      </c>
      <c r="Y4" s="2">
        <f t="shared" si="11"/>
        <v>17.852881825268383</v>
      </c>
      <c r="Z4" s="2">
        <f t="shared" si="12"/>
        <v>27.533788894973839</v>
      </c>
      <c r="AA4" s="5">
        <f t="shared" si="13"/>
        <v>8.1423026459538939</v>
      </c>
      <c r="AB4" s="5">
        <f t="shared" si="14"/>
        <v>8.5548030127487529</v>
      </c>
      <c r="AC4" s="5">
        <f t="shared" si="15"/>
        <v>9.1902206168980758</v>
      </c>
      <c r="AD4" s="5">
        <f t="shared" ref="AD4:AD10" si="32">AB4-AA4</f>
        <v>0.41250036679485902</v>
      </c>
      <c r="AE4" s="5">
        <f t="shared" ref="AE4:AE10" si="33">AC4-AB4</f>
        <v>0.63541760414932291</v>
      </c>
      <c r="AF4" s="5">
        <f>AA4-$AA$3</f>
        <v>0.1815785040220792</v>
      </c>
      <c r="AG4" s="5">
        <f>AB4-$AB$3</f>
        <v>0.4938979098549936</v>
      </c>
      <c r="AH4" s="5">
        <f>$AB$3-$AA$3</f>
        <v>0.10018096096194462</v>
      </c>
      <c r="AI4" s="5">
        <f>AA4-$AB$3</f>
        <v>8.1397543060134581E-2</v>
      </c>
      <c r="AU4">
        <v>225</v>
      </c>
      <c r="AV4">
        <f>AV3</f>
        <v>2480</v>
      </c>
      <c r="AW4" s="1">
        <f t="shared" si="16"/>
        <v>2559.2654568147123</v>
      </c>
      <c r="AX4" s="1">
        <f t="shared" si="17"/>
        <v>2678.1258957356963</v>
      </c>
      <c r="AY4" s="1">
        <f t="shared" ref="AY4:AY10" si="34">6*SQRT(2*6378*(6378+AU4)*(1-COS(AV4/(6*6378)))+AU4^2)</f>
        <v>2861.4057138063013</v>
      </c>
      <c r="AZ4" s="2">
        <f t="shared" si="18"/>
        <v>4.5094395921840942</v>
      </c>
      <c r="BA4" s="2">
        <f t="shared" si="19"/>
        <v>16.828191788508249</v>
      </c>
      <c r="BB4" s="2">
        <f t="shared" si="20"/>
        <v>26.278744122588037</v>
      </c>
      <c r="BC4" s="5">
        <f t="shared" si="21"/>
        <v>8.53088485604904</v>
      </c>
      <c r="BD4" s="5">
        <f t="shared" si="22"/>
        <v>8.9270863191189882</v>
      </c>
      <c r="BE4" s="5">
        <f t="shared" si="23"/>
        <v>9.5380190460210041</v>
      </c>
      <c r="BF4" s="5">
        <f t="shared" ref="BF4:BF10" si="35">BD4-BC4</f>
        <v>0.39620146306994819</v>
      </c>
      <c r="BG4" s="5">
        <f t="shared" ref="BG4:BG10" si="36">BE4-BD4</f>
        <v>0.61093272690201594</v>
      </c>
      <c r="BH4" s="5">
        <f t="shared" ref="BH4:BH10" si="37">BC4-$BC$3</f>
        <v>0.18017900697883071</v>
      </c>
      <c r="BI4" s="5">
        <f t="shared" ref="BI4:BI10" si="38">BD4-$BD$3</f>
        <v>0.47912033846096413</v>
      </c>
      <c r="BJ4" s="5">
        <f t="shared" ref="BJ4:BJ10" si="39">$BD$3-$BC$3</f>
        <v>9.7260131587814769E-2</v>
      </c>
      <c r="BK4" s="5">
        <f t="shared" ref="BK4:BK10" si="40">BC4-$BD$3</f>
        <v>8.2918875391015945E-2</v>
      </c>
    </row>
    <row r="5" spans="1:63">
      <c r="A5">
        <f t="shared" ref="A5:A10" si="41">A4+25</f>
        <v>250</v>
      </c>
      <c r="B5">
        <f t="shared" ref="B5:B10" si="42">B4</f>
        <v>407</v>
      </c>
      <c r="C5" s="1">
        <f t="shared" si="0"/>
        <v>649.71330631831802</v>
      </c>
      <c r="D5" s="1">
        <f t="shared" si="1"/>
        <v>1082.6533760993643</v>
      </c>
      <c r="E5" s="1">
        <f t="shared" si="24"/>
        <v>1556.3227046655877</v>
      </c>
      <c r="F5" s="2">
        <f t="shared" si="2"/>
        <v>49.393004029832952</v>
      </c>
      <c r="G5" s="2">
        <f t="shared" si="3"/>
        <v>67.005838103235675</v>
      </c>
      <c r="H5" s="2">
        <f t="shared" si="4"/>
        <v>74.231644546395273</v>
      </c>
      <c r="I5" s="5">
        <f t="shared" si="5"/>
        <v>2.1657110210610599</v>
      </c>
      <c r="J5" s="5">
        <f t="shared" si="6"/>
        <v>3.6088445869978809</v>
      </c>
      <c r="K5" s="5">
        <f t="shared" si="7"/>
        <v>5.1877423488852923</v>
      </c>
      <c r="L5" s="13">
        <f t="shared" si="25"/>
        <v>1.443133565936821</v>
      </c>
      <c r="M5" s="13">
        <f t="shared" si="26"/>
        <v>1.5788977618874114</v>
      </c>
      <c r="N5" s="13">
        <f t="shared" si="27"/>
        <v>0.62925850764281455</v>
      </c>
      <c r="O5" s="13">
        <f t="shared" si="28"/>
        <v>1.6516002596973656</v>
      </c>
      <c r="P5" s="13">
        <f t="shared" si="29"/>
        <v>0.42079181388226994</v>
      </c>
      <c r="Q5" s="13">
        <f t="shared" si="30"/>
        <v>2.0723920735796355</v>
      </c>
      <c r="S5">
        <f t="shared" ref="S5:S10" si="43">S4+25</f>
        <v>250</v>
      </c>
      <c r="T5">
        <f t="shared" ref="T5:T10" si="44">T4</f>
        <v>2363</v>
      </c>
      <c r="U5" s="1">
        <f t="shared" si="8"/>
        <v>2456.8399683215375</v>
      </c>
      <c r="V5" s="1">
        <f t="shared" si="9"/>
        <v>2607.391436593161</v>
      </c>
      <c r="W5" s="1">
        <f t="shared" si="31"/>
        <v>2837.3920823560893</v>
      </c>
      <c r="X5" s="2">
        <f t="shared" si="10"/>
        <v>6.3849058904673086</v>
      </c>
      <c r="Y5" s="2">
        <f t="shared" si="11"/>
        <v>19.873663590444224</v>
      </c>
      <c r="Z5" s="2">
        <f t="shared" si="12"/>
        <v>30.129074976861489</v>
      </c>
      <c r="AA5" s="5">
        <f t="shared" si="13"/>
        <v>8.1894665610717912</v>
      </c>
      <c r="AB5" s="5">
        <f t="shared" si="14"/>
        <v>8.691304788643869</v>
      </c>
      <c r="AC5" s="5">
        <f t="shared" si="15"/>
        <v>9.4579736078536314</v>
      </c>
      <c r="AD5" s="5">
        <f t="shared" si="32"/>
        <v>0.50183822757207786</v>
      </c>
      <c r="AE5" s="5">
        <f t="shared" si="33"/>
        <v>0.76666881920976238</v>
      </c>
      <c r="AF5" s="5">
        <f t="shared" ref="AF5:AF10" si="45">AA5-$AA$3</f>
        <v>0.2287424191399765</v>
      </c>
      <c r="AG5" s="5">
        <f t="shared" ref="AG5:AG10" si="46">AB5-$AB$3</f>
        <v>0.63039968575010974</v>
      </c>
      <c r="AH5" s="5">
        <f t="shared" ref="AH5:AH10" si="47">$AB$3-$AA$3</f>
        <v>0.10018096096194462</v>
      </c>
      <c r="AI5" s="5">
        <f t="shared" ref="AI5:AI10" si="48">AA5-$AB$3</f>
        <v>0.12856145817803188</v>
      </c>
      <c r="AU5">
        <f t="shared" ref="AU5:AU10" si="49">AU4+25</f>
        <v>250</v>
      </c>
      <c r="AV5">
        <f t="shared" ref="AV5:AV10" si="50">AV4</f>
        <v>2480</v>
      </c>
      <c r="AW5" s="1">
        <f t="shared" si="16"/>
        <v>2573.2026169974656</v>
      </c>
      <c r="AX5" s="1">
        <f t="shared" si="17"/>
        <v>2717.8019070583014</v>
      </c>
      <c r="AY5" s="1">
        <f t="shared" si="34"/>
        <v>2939.2587660113845</v>
      </c>
      <c r="AZ5" s="2">
        <f t="shared" si="18"/>
        <v>5.5815576545390968</v>
      </c>
      <c r="BA5" s="2">
        <f t="shared" si="19"/>
        <v>18.777707756718627</v>
      </c>
      <c r="BB5" s="2">
        <f t="shared" si="20"/>
        <v>28.81204897558797</v>
      </c>
      <c r="BC5" s="5">
        <f t="shared" si="21"/>
        <v>8.5773420566582192</v>
      </c>
      <c r="BD5" s="5">
        <f t="shared" si="22"/>
        <v>9.0593396901943386</v>
      </c>
      <c r="BE5" s="5">
        <f t="shared" si="23"/>
        <v>9.7975292200379478</v>
      </c>
      <c r="BF5" s="5">
        <f t="shared" si="35"/>
        <v>0.48199763353611935</v>
      </c>
      <c r="BG5" s="5">
        <f t="shared" si="36"/>
        <v>0.73818952984360919</v>
      </c>
      <c r="BH5" s="5">
        <f t="shared" si="37"/>
        <v>0.22663620758800995</v>
      </c>
      <c r="BI5" s="5">
        <f t="shared" si="38"/>
        <v>0.61137370953631454</v>
      </c>
      <c r="BJ5" s="5">
        <f t="shared" si="39"/>
        <v>9.7260131587814769E-2</v>
      </c>
      <c r="BK5" s="5">
        <f t="shared" si="40"/>
        <v>0.12937607600019518</v>
      </c>
    </row>
    <row r="6" spans="1:63">
      <c r="A6">
        <f t="shared" si="41"/>
        <v>275</v>
      </c>
      <c r="B6">
        <f t="shared" si="42"/>
        <v>407</v>
      </c>
      <c r="C6" s="1">
        <f t="shared" si="0"/>
        <v>689.40309231586366</v>
      </c>
      <c r="D6" s="1">
        <f t="shared" si="1"/>
        <v>1175.9199026200492</v>
      </c>
      <c r="E6" s="1">
        <f t="shared" si="24"/>
        <v>1701.555069137235</v>
      </c>
      <c r="F6" s="2">
        <f t="shared" si="2"/>
        <v>51.996575528836956</v>
      </c>
      <c r="G6" s="2">
        <f t="shared" si="3"/>
        <v>68.837760668952114</v>
      </c>
      <c r="H6" s="2">
        <f t="shared" si="4"/>
        <v>75.55261954258043</v>
      </c>
      <c r="I6" s="5">
        <f t="shared" si="5"/>
        <v>2.2980103077195455</v>
      </c>
      <c r="J6" s="5">
        <f t="shared" si="6"/>
        <v>3.9197330087334974</v>
      </c>
      <c r="K6" s="5">
        <f t="shared" si="7"/>
        <v>5.6718502304574505</v>
      </c>
      <c r="L6" s="13">
        <f t="shared" si="25"/>
        <v>1.6217227010139519</v>
      </c>
      <c r="M6" s="13">
        <f t="shared" si="26"/>
        <v>1.7521172217239531</v>
      </c>
      <c r="N6" s="13">
        <f t="shared" si="27"/>
        <v>0.76155779430130011</v>
      </c>
      <c r="O6" s="13">
        <f t="shared" si="28"/>
        <v>1.9624886814329821</v>
      </c>
      <c r="P6" s="13">
        <f t="shared" si="29"/>
        <v>0.42079181388226994</v>
      </c>
      <c r="Q6" s="13">
        <f t="shared" si="30"/>
        <v>2.383280495315252</v>
      </c>
      <c r="S6">
        <f t="shared" si="43"/>
        <v>275</v>
      </c>
      <c r="T6">
        <f t="shared" si="44"/>
        <v>2363</v>
      </c>
      <c r="U6" s="1">
        <f t="shared" si="8"/>
        <v>2471.9196883872751</v>
      </c>
      <c r="V6" s="1">
        <f t="shared" si="9"/>
        <v>2651.4828482218272</v>
      </c>
      <c r="W6" s="1">
        <f t="shared" si="31"/>
        <v>2923.2129086299528</v>
      </c>
      <c r="X6" s="2">
        <f t="shared" si="10"/>
        <v>7.4932820074023994</v>
      </c>
      <c r="Y6" s="2">
        <f t="shared" si="11"/>
        <v>21.829606502691647</v>
      </c>
      <c r="Z6" s="2">
        <f t="shared" si="12"/>
        <v>32.576760208826457</v>
      </c>
      <c r="AA6" s="5">
        <f t="shared" si="13"/>
        <v>8.2397322946242504</v>
      </c>
      <c r="AB6" s="5">
        <f t="shared" si="14"/>
        <v>8.838276160739424</v>
      </c>
      <c r="AC6" s="5">
        <f t="shared" si="15"/>
        <v>9.7440430287665087</v>
      </c>
      <c r="AD6" s="5">
        <f t="shared" si="32"/>
        <v>0.59854386611517363</v>
      </c>
      <c r="AE6" s="5">
        <f t="shared" si="33"/>
        <v>0.90576686802708473</v>
      </c>
      <c r="AF6" s="5">
        <f t="shared" si="45"/>
        <v>0.27900815269243573</v>
      </c>
      <c r="AG6" s="5">
        <f t="shared" si="46"/>
        <v>0.77737105784566474</v>
      </c>
      <c r="AH6" s="5">
        <f t="shared" si="47"/>
        <v>0.10018096096194462</v>
      </c>
      <c r="AI6" s="5">
        <f t="shared" si="48"/>
        <v>0.17882719173049111</v>
      </c>
      <c r="AU6">
        <f t="shared" si="49"/>
        <v>275</v>
      </c>
      <c r="AV6">
        <f t="shared" si="50"/>
        <v>2480</v>
      </c>
      <c r="AW6" s="1">
        <f t="shared" si="16"/>
        <v>2588.0308610602378</v>
      </c>
      <c r="AX6" s="1">
        <f t="shared" si="17"/>
        <v>2760.5318506782992</v>
      </c>
      <c r="AY6" s="1">
        <f t="shared" si="34"/>
        <v>3022.555463204304</v>
      </c>
      <c r="AZ6" s="2">
        <f t="shared" si="18"/>
        <v>6.6417579882421336</v>
      </c>
      <c r="BA6" s="2">
        <f t="shared" si="19"/>
        <v>20.66900632055885</v>
      </c>
      <c r="BB6" s="2">
        <f t="shared" si="20"/>
        <v>31.210207676750727</v>
      </c>
      <c r="BC6" s="5">
        <f t="shared" si="21"/>
        <v>8.6267695368674602</v>
      </c>
      <c r="BD6" s="5">
        <f t="shared" si="22"/>
        <v>9.2017728355943298</v>
      </c>
      <c r="BE6" s="5">
        <f t="shared" si="23"/>
        <v>10.075184877347681</v>
      </c>
      <c r="BF6" s="5">
        <f t="shared" si="35"/>
        <v>0.57500329872686962</v>
      </c>
      <c r="BG6" s="5">
        <f t="shared" si="36"/>
        <v>0.87341204175335108</v>
      </c>
      <c r="BH6" s="5">
        <f t="shared" si="37"/>
        <v>0.27606368779725088</v>
      </c>
      <c r="BI6" s="5">
        <f t="shared" si="38"/>
        <v>0.75380685493630573</v>
      </c>
      <c r="BJ6" s="5">
        <f t="shared" si="39"/>
        <v>9.7260131587814769E-2</v>
      </c>
      <c r="BK6" s="5">
        <f t="shared" si="40"/>
        <v>0.17880355620943611</v>
      </c>
    </row>
    <row r="7" spans="1:63">
      <c r="A7">
        <f t="shared" si="41"/>
        <v>300</v>
      </c>
      <c r="B7">
        <f t="shared" si="42"/>
        <v>407</v>
      </c>
      <c r="C7" s="1">
        <f t="shared" si="0"/>
        <v>730.36009405105767</v>
      </c>
      <c r="D7" s="1">
        <f t="shared" si="1"/>
        <v>1270.2113611429165</v>
      </c>
      <c r="E7" s="1">
        <f t="shared" si="24"/>
        <v>1847.5494433317963</v>
      </c>
      <c r="F7" s="2">
        <f t="shared" si="2"/>
        <v>54.312492732368526</v>
      </c>
      <c r="G7" s="2">
        <f t="shared" si="3"/>
        <v>70.39911081869991</v>
      </c>
      <c r="H7" s="2">
        <f t="shared" si="4"/>
        <v>76.665342390665302</v>
      </c>
      <c r="I7" s="5">
        <f t="shared" si="5"/>
        <v>2.4345336468368588</v>
      </c>
      <c r="J7" s="5">
        <f t="shared" si="6"/>
        <v>4.2340378704763886</v>
      </c>
      <c r="K7" s="5">
        <f t="shared" si="7"/>
        <v>6.1584981444393208</v>
      </c>
      <c r="L7" s="13">
        <f t="shared" si="25"/>
        <v>1.7995042236395298</v>
      </c>
      <c r="M7" s="13">
        <f t="shared" si="26"/>
        <v>1.9244602739629322</v>
      </c>
      <c r="N7" s="13">
        <f t="shared" si="27"/>
        <v>0.8980811334186134</v>
      </c>
      <c r="O7" s="13">
        <f t="shared" si="28"/>
        <v>2.2767935431758732</v>
      </c>
      <c r="P7" s="13">
        <f t="shared" si="29"/>
        <v>0.42079181388226994</v>
      </c>
      <c r="Q7" s="13">
        <f t="shared" si="30"/>
        <v>2.6975853570581432</v>
      </c>
      <c r="S7">
        <f t="shared" si="43"/>
        <v>300</v>
      </c>
      <c r="T7">
        <f t="shared" si="44"/>
        <v>2363</v>
      </c>
      <c r="U7" s="1">
        <f t="shared" si="8"/>
        <v>2487.9130333938756</v>
      </c>
      <c r="V7" s="1">
        <f t="shared" si="9"/>
        <v>2698.5611879684548</v>
      </c>
      <c r="W7" s="1">
        <f t="shared" si="31"/>
        <v>3014.0593208071655</v>
      </c>
      <c r="X7" s="2">
        <f t="shared" si="10"/>
        <v>8.5878132433788466</v>
      </c>
      <c r="Y7" s="2">
        <f t="shared" si="11"/>
        <v>23.71944431493597</v>
      </c>
      <c r="Z7" s="2">
        <f t="shared" si="12"/>
        <v>34.880896067755657</v>
      </c>
      <c r="AA7" s="5">
        <f t="shared" si="13"/>
        <v>8.2930434446462513</v>
      </c>
      <c r="AB7" s="5">
        <f t="shared" si="14"/>
        <v>8.9952039598948499</v>
      </c>
      <c r="AC7" s="5">
        <f t="shared" si="15"/>
        <v>10.046864402690552</v>
      </c>
      <c r="AD7" s="5">
        <f t="shared" si="32"/>
        <v>0.70216051524859857</v>
      </c>
      <c r="AE7" s="5">
        <f t="shared" si="33"/>
        <v>1.0516604427957024</v>
      </c>
      <c r="AF7" s="5">
        <f t="shared" si="45"/>
        <v>0.33231930271443666</v>
      </c>
      <c r="AG7" s="5">
        <f t="shared" si="46"/>
        <v>0.93429885700109061</v>
      </c>
      <c r="AH7" s="5">
        <f t="shared" si="47"/>
        <v>0.10018096096194462</v>
      </c>
      <c r="AI7" s="5">
        <f t="shared" si="48"/>
        <v>0.23213834175249204</v>
      </c>
      <c r="AU7">
        <f t="shared" si="49"/>
        <v>300</v>
      </c>
      <c r="AV7">
        <f t="shared" si="50"/>
        <v>2480</v>
      </c>
      <c r="AW7" s="1">
        <f t="shared" si="16"/>
        <v>2603.7349649067178</v>
      </c>
      <c r="AX7" s="1">
        <f t="shared" si="17"/>
        <v>2806.1762224081667</v>
      </c>
      <c r="AY7" s="1">
        <f t="shared" si="34"/>
        <v>3110.8585571699668</v>
      </c>
      <c r="AZ7" s="2">
        <f t="shared" si="18"/>
        <v>7.689524631066746</v>
      </c>
      <c r="BA7" s="2">
        <f t="shared" si="19"/>
        <v>22.500721987612877</v>
      </c>
      <c r="BB7" s="2">
        <f t="shared" si="20"/>
        <v>33.476009198335774</v>
      </c>
      <c r="BC7" s="5">
        <f t="shared" si="21"/>
        <v>8.6791165496890592</v>
      </c>
      <c r="BD7" s="5">
        <f t="shared" si="22"/>
        <v>9.3539207413605556</v>
      </c>
      <c r="BE7" s="5">
        <f t="shared" si="23"/>
        <v>10.36952852389989</v>
      </c>
      <c r="BF7" s="5">
        <f t="shared" si="35"/>
        <v>0.67480419167149641</v>
      </c>
      <c r="BG7" s="5">
        <f t="shared" si="36"/>
        <v>1.0156077825393339</v>
      </c>
      <c r="BH7" s="5">
        <f t="shared" si="37"/>
        <v>0.32841070061884992</v>
      </c>
      <c r="BI7" s="5">
        <f t="shared" si="38"/>
        <v>0.90595476070253156</v>
      </c>
      <c r="BJ7" s="5">
        <f t="shared" si="39"/>
        <v>9.7260131587814769E-2</v>
      </c>
      <c r="BK7" s="5">
        <f t="shared" si="40"/>
        <v>0.23115056903103515</v>
      </c>
    </row>
    <row r="8" spans="1:63">
      <c r="A8">
        <f t="shared" si="41"/>
        <v>325</v>
      </c>
      <c r="B8">
        <f t="shared" si="42"/>
        <v>407</v>
      </c>
      <c r="C8" s="1">
        <f t="shared" si="0"/>
        <v>772.3827485579053</v>
      </c>
      <c r="D8" s="1">
        <f t="shared" si="1"/>
        <v>1365.3154165155886</v>
      </c>
      <c r="E8" s="1">
        <f t="shared" si="24"/>
        <v>1994.1384700678741</v>
      </c>
      <c r="F8" s="2">
        <f t="shared" si="2"/>
        <v>56.379488718554143</v>
      </c>
      <c r="G8" s="2">
        <f t="shared" si="3"/>
        <v>71.743828683849244</v>
      </c>
      <c r="H8" s="2">
        <f t="shared" si="4"/>
        <v>77.614788412205343</v>
      </c>
      <c r="I8" s="5">
        <f t="shared" si="5"/>
        <v>2.5746091618596845</v>
      </c>
      <c r="J8" s="5">
        <f t="shared" si="6"/>
        <v>4.5510513883852957</v>
      </c>
      <c r="K8" s="5">
        <f t="shared" si="7"/>
        <v>6.64712823355958</v>
      </c>
      <c r="L8" s="13">
        <f t="shared" si="25"/>
        <v>1.9764422265256112</v>
      </c>
      <c r="M8" s="13">
        <f t="shared" si="26"/>
        <v>2.0960768451742844</v>
      </c>
      <c r="N8" s="13">
        <f t="shared" si="27"/>
        <v>1.0381566484414391</v>
      </c>
      <c r="O8" s="13">
        <f t="shared" si="28"/>
        <v>2.5938070610847803</v>
      </c>
      <c r="P8" s="13">
        <f t="shared" si="29"/>
        <v>0.42079181388226994</v>
      </c>
      <c r="Q8" s="13">
        <f t="shared" si="30"/>
        <v>3.0145988749670503</v>
      </c>
      <c r="S8">
        <f t="shared" si="43"/>
        <v>325</v>
      </c>
      <c r="T8">
        <f t="shared" si="44"/>
        <v>2363</v>
      </c>
      <c r="U8" s="1">
        <f t="shared" si="8"/>
        <v>2504.802502718645</v>
      </c>
      <c r="V8" s="1">
        <f t="shared" si="9"/>
        <v>2748.4729716707971</v>
      </c>
      <c r="W8" s="1">
        <f t="shared" si="31"/>
        <v>3109.4908698223121</v>
      </c>
      <c r="X8" s="2">
        <f t="shared" si="10"/>
        <v>9.6679738612225492</v>
      </c>
      <c r="Y8" s="2">
        <f t="shared" si="11"/>
        <v>25.542569220189492</v>
      </c>
      <c r="Z8" s="2">
        <f t="shared" si="12"/>
        <v>37.046931875750204</v>
      </c>
      <c r="AA8" s="5">
        <f t="shared" si="13"/>
        <v>8.3493416757288159</v>
      </c>
      <c r="AB8" s="5">
        <f t="shared" si="14"/>
        <v>9.1615765722359903</v>
      </c>
      <c r="AC8" s="5">
        <f t="shared" si="15"/>
        <v>10.364969566074373</v>
      </c>
      <c r="AD8" s="5">
        <f t="shared" si="32"/>
        <v>0.8122348965071744</v>
      </c>
      <c r="AE8" s="5">
        <f t="shared" si="33"/>
        <v>1.2033929938383832</v>
      </c>
      <c r="AF8" s="5">
        <f t="shared" si="45"/>
        <v>0.38861753379700126</v>
      </c>
      <c r="AG8" s="5">
        <f t="shared" si="46"/>
        <v>1.100671469342231</v>
      </c>
      <c r="AH8" s="5">
        <f t="shared" si="47"/>
        <v>0.10018096096194462</v>
      </c>
      <c r="AI8" s="5">
        <f t="shared" si="48"/>
        <v>0.28843657283505664</v>
      </c>
      <c r="AU8">
        <f t="shared" si="49"/>
        <v>325</v>
      </c>
      <c r="AV8">
        <f t="shared" si="50"/>
        <v>2480</v>
      </c>
      <c r="AW8" s="1">
        <f t="shared" si="16"/>
        <v>2620.2991808485108</v>
      </c>
      <c r="AX8" s="1">
        <f t="shared" si="17"/>
        <v>2854.5952224104526</v>
      </c>
      <c r="AY8" s="1">
        <f t="shared" si="34"/>
        <v>3203.7541099917489</v>
      </c>
      <c r="AZ8" s="2">
        <f t="shared" si="18"/>
        <v>8.7243868814212249</v>
      </c>
      <c r="BA8" s="2">
        <f t="shared" si="19"/>
        <v>24.272060197193028</v>
      </c>
      <c r="BB8" s="2">
        <f t="shared" si="20"/>
        <v>35.613599731540049</v>
      </c>
      <c r="BC8" s="5">
        <f t="shared" si="21"/>
        <v>8.7343306028283685</v>
      </c>
      <c r="BD8" s="5">
        <f t="shared" si="22"/>
        <v>9.5153174080348428</v>
      </c>
      <c r="BE8" s="5">
        <f t="shared" si="23"/>
        <v>10.679180366639162</v>
      </c>
      <c r="BF8" s="5">
        <f t="shared" si="35"/>
        <v>0.78098680520647434</v>
      </c>
      <c r="BG8" s="5">
        <f t="shared" si="36"/>
        <v>1.1638629586043194</v>
      </c>
      <c r="BH8" s="5">
        <f t="shared" si="37"/>
        <v>0.38362475375815919</v>
      </c>
      <c r="BI8" s="5">
        <f t="shared" si="38"/>
        <v>1.0673514273768188</v>
      </c>
      <c r="BJ8" s="5">
        <f t="shared" si="39"/>
        <v>9.7260131587814769E-2</v>
      </c>
      <c r="BK8" s="5">
        <f t="shared" si="40"/>
        <v>0.28636462217034442</v>
      </c>
    </row>
    <row r="9" spans="1:63">
      <c r="A9">
        <f t="shared" si="41"/>
        <v>350</v>
      </c>
      <c r="B9">
        <f t="shared" si="42"/>
        <v>407</v>
      </c>
      <c r="C9" s="1">
        <f t="shared" si="0"/>
        <v>815.30629431978446</v>
      </c>
      <c r="D9" s="1">
        <f t="shared" si="1"/>
        <v>1461.0733969153396</v>
      </c>
      <c r="E9" s="1">
        <f t="shared" si="24"/>
        <v>2141.2000210287806</v>
      </c>
      <c r="F9" s="2">
        <f t="shared" si="2"/>
        <v>58.231046454054166</v>
      </c>
      <c r="G9" s="2">
        <f t="shared" si="3"/>
        <v>72.912857984479331</v>
      </c>
      <c r="H9" s="2">
        <f t="shared" si="4"/>
        <v>78.434014986087107</v>
      </c>
      <c r="I9" s="5">
        <f t="shared" si="5"/>
        <v>2.7176876477326148</v>
      </c>
      <c r="J9" s="5">
        <f t="shared" si="6"/>
        <v>4.8702446563844655</v>
      </c>
      <c r="K9" s="5">
        <f t="shared" si="7"/>
        <v>7.1373334034292686</v>
      </c>
      <c r="L9" s="13">
        <f t="shared" si="25"/>
        <v>2.1525570086518506</v>
      </c>
      <c r="M9" s="13">
        <f t="shared" si="26"/>
        <v>2.2670887470448031</v>
      </c>
      <c r="N9" s="13">
        <f t="shared" si="27"/>
        <v>1.1812351343143694</v>
      </c>
      <c r="O9" s="13">
        <f t="shared" si="28"/>
        <v>2.9130003290839501</v>
      </c>
      <c r="P9" s="13">
        <f t="shared" si="29"/>
        <v>0.42079181388226994</v>
      </c>
      <c r="Q9" s="13">
        <f t="shared" si="30"/>
        <v>3.3337921429662201</v>
      </c>
      <c r="S9">
        <f t="shared" si="43"/>
        <v>350</v>
      </c>
      <c r="T9">
        <f t="shared" si="44"/>
        <v>2363</v>
      </c>
      <c r="U9" s="1">
        <f t="shared" si="8"/>
        <v>2522.5700968496508</v>
      </c>
      <c r="V9" s="1">
        <f t="shared" si="9"/>
        <v>2801.066737298504</v>
      </c>
      <c r="W9" s="1">
        <f t="shared" si="31"/>
        <v>3209.0985260150678</v>
      </c>
      <c r="X9" s="2">
        <f t="shared" si="10"/>
        <v>10.733292655770782</v>
      </c>
      <c r="Y9" s="2">
        <f t="shared" si="11"/>
        <v>27.298955232605365</v>
      </c>
      <c r="Z9" s="2">
        <f t="shared" si="12"/>
        <v>39.081265503176752</v>
      </c>
      <c r="AA9" s="5">
        <f t="shared" si="13"/>
        <v>8.4085669894988353</v>
      </c>
      <c r="AB9" s="5">
        <f t="shared" si="14"/>
        <v>9.3368891243283461</v>
      </c>
      <c r="AC9" s="5">
        <f t="shared" si="15"/>
        <v>10.696995086716893</v>
      </c>
      <c r="AD9" s="5">
        <f t="shared" si="32"/>
        <v>0.92832213482951076</v>
      </c>
      <c r="AE9" s="5">
        <f t="shared" si="33"/>
        <v>1.3601059623885465</v>
      </c>
      <c r="AF9" s="5">
        <f t="shared" si="45"/>
        <v>0.44784284756702064</v>
      </c>
      <c r="AG9" s="5">
        <f t="shared" si="46"/>
        <v>1.2759840214345868</v>
      </c>
      <c r="AH9" s="5">
        <f t="shared" si="47"/>
        <v>0.10018096096194462</v>
      </c>
      <c r="AI9" s="5">
        <f t="shared" si="48"/>
        <v>0.34766188660507602</v>
      </c>
      <c r="AU9">
        <f t="shared" si="49"/>
        <v>350</v>
      </c>
      <c r="AV9">
        <f t="shared" si="50"/>
        <v>2480</v>
      </c>
      <c r="AW9" s="1">
        <f t="shared" si="16"/>
        <v>2637.7073049967021</v>
      </c>
      <c r="AX9" s="1">
        <f t="shared" si="17"/>
        <v>2905.6501469392688</v>
      </c>
      <c r="AY9" s="1">
        <f t="shared" si="34"/>
        <v>3300.8544093704654</v>
      </c>
      <c r="AZ9" s="2">
        <f t="shared" si="18"/>
        <v>9.7459192061336921</v>
      </c>
      <c r="BA9" s="2">
        <f t="shared" si="19"/>
        <v>25.982738912409701</v>
      </c>
      <c r="BB9" s="2">
        <f t="shared" si="20"/>
        <v>37.628099137136061</v>
      </c>
      <c r="BC9" s="5">
        <f t="shared" si="21"/>
        <v>8.79235768332234</v>
      </c>
      <c r="BD9" s="5">
        <f t="shared" si="22"/>
        <v>9.6855004897975618</v>
      </c>
      <c r="BE9" s="5">
        <f t="shared" si="23"/>
        <v>11.002848031234885</v>
      </c>
      <c r="BF9" s="5">
        <f t="shared" si="35"/>
        <v>0.89314280647522182</v>
      </c>
      <c r="BG9" s="5">
        <f t="shared" si="36"/>
        <v>1.3173475414373232</v>
      </c>
      <c r="BH9" s="5">
        <f t="shared" si="37"/>
        <v>0.44165183425213073</v>
      </c>
      <c r="BI9" s="5">
        <f t="shared" si="38"/>
        <v>1.2375345091395378</v>
      </c>
      <c r="BJ9" s="5">
        <f t="shared" si="39"/>
        <v>9.7260131587814769E-2</v>
      </c>
      <c r="BK9" s="5">
        <f t="shared" si="40"/>
        <v>0.34439170266431596</v>
      </c>
    </row>
    <row r="10" spans="1:63">
      <c r="A10">
        <f t="shared" si="41"/>
        <v>375</v>
      </c>
      <c r="B10">
        <f t="shared" si="42"/>
        <v>407</v>
      </c>
      <c r="C10" s="1">
        <f t="shared" si="0"/>
        <v>858.99569081867548</v>
      </c>
      <c r="D10" s="1">
        <f t="shared" si="1"/>
        <v>1557.3646829732347</v>
      </c>
      <c r="E10" s="1">
        <f t="shared" si="24"/>
        <v>2288.6430089253026</v>
      </c>
      <c r="F10" s="2">
        <f t="shared" si="2"/>
        <v>59.895855238861344</v>
      </c>
      <c r="G10" s="2">
        <f t="shared" si="3"/>
        <v>73.937709846304273</v>
      </c>
      <c r="H10" s="2">
        <f t="shared" si="4"/>
        <v>79.147816927091384</v>
      </c>
      <c r="I10" s="5">
        <f t="shared" si="5"/>
        <v>2.8633189693955852</v>
      </c>
      <c r="J10" s="5">
        <f t="shared" si="6"/>
        <v>5.191215609910782</v>
      </c>
      <c r="K10" s="5">
        <f t="shared" si="7"/>
        <v>7.6288100297510084</v>
      </c>
      <c r="L10" s="13">
        <f t="shared" si="25"/>
        <v>2.3278966405151968</v>
      </c>
      <c r="M10" s="13">
        <f t="shared" si="26"/>
        <v>2.4375944198402264</v>
      </c>
      <c r="N10" s="13">
        <f t="shared" si="27"/>
        <v>1.3268664559773398</v>
      </c>
      <c r="O10" s="13">
        <f t="shared" si="28"/>
        <v>3.2339712826102667</v>
      </c>
      <c r="P10" s="13">
        <f t="shared" si="29"/>
        <v>0.42079181388226994</v>
      </c>
      <c r="Q10" s="13">
        <f t="shared" si="30"/>
        <v>3.6547630964925366</v>
      </c>
      <c r="S10">
        <f t="shared" si="43"/>
        <v>375</v>
      </c>
      <c r="T10">
        <f t="shared" si="44"/>
        <v>2363</v>
      </c>
      <c r="U10" s="1">
        <f t="shared" si="8"/>
        <v>2541.1973967825734</v>
      </c>
      <c r="V10" s="1">
        <f t="shared" si="9"/>
        <v>2856.1943312028457</v>
      </c>
      <c r="W10" s="1">
        <f t="shared" si="31"/>
        <v>3312.505581857311</v>
      </c>
      <c r="X10" s="2">
        <f t="shared" si="10"/>
        <v>11.783352290310177</v>
      </c>
      <c r="Y10" s="2">
        <f t="shared" si="11"/>
        <v>28.989079555508525</v>
      </c>
      <c r="Z10" s="2">
        <f t="shared" si="12"/>
        <v>40.990872504334192</v>
      </c>
      <c r="AA10" s="5">
        <f t="shared" si="13"/>
        <v>8.470657989275244</v>
      </c>
      <c r="AB10" s="5">
        <f t="shared" si="14"/>
        <v>9.5206477706761525</v>
      </c>
      <c r="AC10" s="5">
        <f t="shared" si="15"/>
        <v>11.041685272857704</v>
      </c>
      <c r="AD10" s="5">
        <f t="shared" si="32"/>
        <v>1.0499897814009085</v>
      </c>
      <c r="AE10" s="5">
        <f t="shared" si="33"/>
        <v>1.5210375021815512</v>
      </c>
      <c r="AF10" s="5">
        <f t="shared" si="45"/>
        <v>0.50993384734342939</v>
      </c>
      <c r="AG10" s="5">
        <f t="shared" si="46"/>
        <v>1.4597426677823933</v>
      </c>
      <c r="AH10" s="5">
        <f t="shared" si="47"/>
        <v>0.10018096096194462</v>
      </c>
      <c r="AI10" s="5">
        <f t="shared" si="48"/>
        <v>0.40975288638148477</v>
      </c>
      <c r="AU10">
        <f t="shared" si="49"/>
        <v>375</v>
      </c>
      <c r="AV10">
        <f t="shared" si="50"/>
        <v>2480</v>
      </c>
      <c r="AW10" s="1">
        <f t="shared" si="16"/>
        <v>2655.9427434548652</v>
      </c>
      <c r="AX10" s="1">
        <f t="shared" si="17"/>
        <v>2959.2045669415643</v>
      </c>
      <c r="AY10" s="1">
        <f t="shared" si="34"/>
        <v>3401.7994159608925</v>
      </c>
      <c r="AZ10" s="2">
        <f t="shared" si="18"/>
        <v>10.753740831450543</v>
      </c>
      <c r="BA10" s="2">
        <f t="shared" si="19"/>
        <v>27.632927255965242</v>
      </c>
      <c r="BB10" s="2">
        <f t="shared" si="20"/>
        <v>39.525274595203854</v>
      </c>
      <c r="BC10" s="5">
        <f t="shared" si="21"/>
        <v>8.8531424781828836</v>
      </c>
      <c r="BD10" s="5">
        <f t="shared" si="22"/>
        <v>9.8640152231385478</v>
      </c>
      <c r="BE10" s="5">
        <f t="shared" si="23"/>
        <v>11.339331386536308</v>
      </c>
      <c r="BF10" s="5">
        <f t="shared" si="35"/>
        <v>1.0108727449556643</v>
      </c>
      <c r="BG10" s="5">
        <f t="shared" si="36"/>
        <v>1.4753161633977605</v>
      </c>
      <c r="BH10" s="5">
        <f t="shared" si="37"/>
        <v>0.50243662911267428</v>
      </c>
      <c r="BI10" s="5">
        <f t="shared" si="38"/>
        <v>1.4160492424805238</v>
      </c>
      <c r="BJ10" s="5">
        <f t="shared" si="39"/>
        <v>9.7260131587814769E-2</v>
      </c>
      <c r="BK10" s="5">
        <f t="shared" si="40"/>
        <v>0.40517649752485951</v>
      </c>
    </row>
    <row r="11" spans="1:63">
      <c r="C11" s="1"/>
      <c r="E11" s="1"/>
      <c r="F11" s="2"/>
      <c r="G11" s="2"/>
      <c r="H11" s="2"/>
      <c r="I11" s="5"/>
      <c r="J11" s="5"/>
      <c r="K11" s="5"/>
      <c r="L11" s="5"/>
      <c r="M11" s="5"/>
      <c r="N11" s="5">
        <f t="shared" ref="N11" si="51">I11-8.35</f>
        <v>-8.35</v>
      </c>
      <c r="O11" s="5">
        <f t="shared" ref="O11" si="52">J11-8.45</f>
        <v>-8.4499999999999993</v>
      </c>
      <c r="S11" s="18" t="s">
        <v>28</v>
      </c>
      <c r="T11" s="18"/>
      <c r="U11" s="16" t="s">
        <v>29</v>
      </c>
      <c r="V11" s="16"/>
      <c r="W11" s="6" t="s">
        <v>30</v>
      </c>
      <c r="X11" s="6"/>
      <c r="Y11" s="20" t="s">
        <v>31</v>
      </c>
      <c r="Z11" s="20"/>
      <c r="AA11" s="3" t="s">
        <v>32</v>
      </c>
      <c r="AB11" s="3"/>
      <c r="AC11" s="23" t="s">
        <v>33</v>
      </c>
      <c r="AD11" s="23"/>
      <c r="AE11" s="6" t="s">
        <v>34</v>
      </c>
      <c r="AF11" s="6"/>
      <c r="AG11" s="22" t="s">
        <v>35</v>
      </c>
      <c r="AH11" s="7"/>
      <c r="AI11" s="3" t="s">
        <v>36</v>
      </c>
      <c r="AJ11" s="3"/>
      <c r="AK11" s="21" t="s">
        <v>37</v>
      </c>
      <c r="AL11" s="21"/>
      <c r="AM11" s="6" t="s">
        <v>38</v>
      </c>
      <c r="AN11" s="6"/>
    </row>
    <row r="12" spans="1:63">
      <c r="C12" s="1"/>
      <c r="D12" s="1"/>
      <c r="E12" s="1"/>
      <c r="F12" s="2"/>
      <c r="G12" s="2"/>
      <c r="H12" s="2"/>
      <c r="I12" s="5"/>
      <c r="J12" s="5"/>
      <c r="K12" s="5"/>
      <c r="L12" s="5"/>
      <c r="M12" s="5"/>
      <c r="N12" s="5"/>
      <c r="S12" s="18" t="s">
        <v>39</v>
      </c>
      <c r="T12" s="18"/>
      <c r="U12" s="17"/>
      <c r="V12" s="17"/>
      <c r="W12" s="6" t="s">
        <v>40</v>
      </c>
      <c r="X12" s="6"/>
      <c r="Y12" s="20"/>
      <c r="Z12" s="20"/>
      <c r="AA12" s="3" t="s">
        <v>40</v>
      </c>
      <c r="AB12" s="3"/>
      <c r="AC12" s="23"/>
      <c r="AD12" s="23"/>
      <c r="AE12" s="6" t="s">
        <v>40</v>
      </c>
      <c r="AF12" s="6"/>
      <c r="AG12" s="7"/>
      <c r="AH12" s="7"/>
      <c r="AI12" s="3" t="s">
        <v>40</v>
      </c>
      <c r="AJ12" s="3"/>
      <c r="AK12" s="21"/>
      <c r="AL12" s="21"/>
      <c r="AM12" s="6" t="s">
        <v>40</v>
      </c>
      <c r="AN12" s="6"/>
    </row>
    <row r="13" spans="1:63">
      <c r="C13" s="1"/>
      <c r="D13" s="1"/>
      <c r="E13" s="1"/>
      <c r="F13" s="2"/>
      <c r="G13" s="2"/>
      <c r="H13" s="2"/>
      <c r="I13" s="5"/>
      <c r="J13" s="5"/>
      <c r="K13" s="5"/>
      <c r="L13" s="5"/>
      <c r="M13" s="5"/>
      <c r="N13" s="5"/>
    </row>
    <row r="14" spans="1:63">
      <c r="C14" s="1"/>
      <c r="D14" s="1"/>
      <c r="E14" s="1"/>
      <c r="F14" s="2"/>
      <c r="G14" s="2"/>
      <c r="H14" s="2"/>
      <c r="I14" s="5"/>
      <c r="J14" s="5"/>
      <c r="K14" s="5"/>
      <c r="L14" s="5"/>
      <c r="M14" s="5"/>
      <c r="N14" s="5"/>
      <c r="S14" s="18" t="s">
        <v>41</v>
      </c>
      <c r="T14" s="18"/>
      <c r="U14" s="17" t="s">
        <v>42</v>
      </c>
      <c r="V14" s="17"/>
      <c r="W14" s="6"/>
      <c r="X14" s="6"/>
      <c r="Y14" s="20" t="s">
        <v>43</v>
      </c>
      <c r="Z14" s="20"/>
      <c r="AA14" s="3" t="s">
        <v>44</v>
      </c>
      <c r="AB14" s="3"/>
      <c r="AC14" s="23" t="s">
        <v>45</v>
      </c>
      <c r="AD14" s="23"/>
      <c r="AE14" s="6" t="s">
        <v>46</v>
      </c>
      <c r="AF14" s="6"/>
      <c r="AG14" s="7"/>
      <c r="AH14" s="7"/>
      <c r="AI14" s="3"/>
      <c r="AJ14" s="3"/>
      <c r="AK14" s="21"/>
      <c r="AL14" s="21"/>
      <c r="AM14" s="6"/>
      <c r="AN14" s="6"/>
    </row>
    <row r="15" spans="1:63">
      <c r="C15" s="1"/>
      <c r="D15" s="1"/>
      <c r="E15" s="1"/>
      <c r="F15" s="2"/>
      <c r="G15" s="2"/>
      <c r="H15" s="2"/>
      <c r="I15" s="5"/>
      <c r="J15" s="5"/>
      <c r="K15" s="5"/>
      <c r="L15" s="5"/>
      <c r="M15" s="5"/>
      <c r="N15" s="5"/>
      <c r="S15" s="18"/>
      <c r="T15" s="18"/>
      <c r="U15" s="17"/>
      <c r="V15" s="17"/>
      <c r="W15" s="6"/>
      <c r="X15" s="6"/>
      <c r="Y15" s="20"/>
      <c r="Z15" s="20"/>
      <c r="AA15" s="3"/>
      <c r="AB15" s="3"/>
      <c r="AC15" s="23"/>
      <c r="AD15" s="23"/>
      <c r="AE15" s="6"/>
      <c r="AF15" s="6"/>
      <c r="AG15" s="7"/>
      <c r="AH15" s="7"/>
      <c r="AI15" s="3"/>
      <c r="AJ15" s="3"/>
      <c r="AK15" s="21"/>
      <c r="AL15" s="21"/>
      <c r="AM15" s="6"/>
      <c r="AN15" s="6"/>
    </row>
    <row r="16" spans="1:63">
      <c r="C16" s="1"/>
      <c r="D16" s="1"/>
      <c r="E16" s="1"/>
      <c r="F16" s="2"/>
      <c r="G16" s="2"/>
      <c r="H16" s="2"/>
      <c r="I16" s="5"/>
      <c r="J16" s="5"/>
      <c r="K16" s="5"/>
      <c r="L16" s="5"/>
      <c r="M16" s="5"/>
      <c r="N16" s="5"/>
      <c r="S16" s="19" t="s">
        <v>47</v>
      </c>
      <c r="T16" s="18"/>
      <c r="U16" s="17" t="s">
        <v>48</v>
      </c>
      <c r="V16" s="17"/>
      <c r="W16" s="6"/>
      <c r="X16" s="6"/>
      <c r="Y16" s="20" t="s">
        <v>49</v>
      </c>
      <c r="Z16" s="20"/>
      <c r="AA16" s="3" t="s">
        <v>50</v>
      </c>
      <c r="AB16" s="3"/>
      <c r="AC16" s="23" t="s">
        <v>51</v>
      </c>
      <c r="AD16" s="23"/>
      <c r="AE16" s="6" t="s">
        <v>52</v>
      </c>
      <c r="AF16" s="6"/>
      <c r="AG16" s="7"/>
      <c r="AH16" s="7"/>
      <c r="AI16" s="3"/>
      <c r="AJ16" s="3"/>
      <c r="AK16" s="21"/>
      <c r="AL16" s="21"/>
      <c r="AM16" s="6"/>
      <c r="AN16" s="6"/>
    </row>
    <row r="17" spans="3:40">
      <c r="C17" s="1"/>
      <c r="D17" s="1"/>
      <c r="E17" s="1"/>
      <c r="F17" s="2"/>
      <c r="G17" s="2"/>
      <c r="H17" s="2"/>
      <c r="I17" s="5"/>
      <c r="J17" s="5"/>
      <c r="K17" s="5"/>
      <c r="L17" s="5"/>
      <c r="M17" s="5"/>
      <c r="N17" s="5"/>
      <c r="S17" s="18"/>
      <c r="T17" s="18"/>
      <c r="U17" s="17"/>
      <c r="V17" s="17"/>
      <c r="W17" s="6"/>
      <c r="X17" s="6"/>
      <c r="Y17" s="20"/>
      <c r="Z17" s="20"/>
      <c r="AA17" s="3"/>
      <c r="AB17" s="3"/>
      <c r="AC17" s="23"/>
      <c r="AD17" s="23"/>
      <c r="AE17" s="6"/>
      <c r="AF17" s="6"/>
      <c r="AG17" s="7"/>
      <c r="AH17" s="7"/>
      <c r="AI17" s="3"/>
      <c r="AJ17" s="3"/>
      <c r="AK17" s="21"/>
      <c r="AL17" s="21"/>
      <c r="AM17" s="6"/>
      <c r="AN17" s="6"/>
    </row>
    <row r="18" spans="3:40">
      <c r="C18" s="1"/>
      <c r="D18" s="1"/>
      <c r="E18" s="1"/>
      <c r="F18" s="2"/>
      <c r="G18" s="2"/>
      <c r="H18" s="2"/>
      <c r="I18" s="5"/>
      <c r="J18" s="5"/>
      <c r="K18" s="5"/>
      <c r="L18" s="5"/>
      <c r="M18" s="5"/>
      <c r="N18" s="5"/>
      <c r="S18" s="18" t="s">
        <v>53</v>
      </c>
      <c r="T18" s="18"/>
      <c r="U18" s="17" t="s">
        <v>54</v>
      </c>
      <c r="V18" s="17"/>
      <c r="W18" s="6"/>
      <c r="X18" s="6"/>
      <c r="Y18" s="20" t="s">
        <v>55</v>
      </c>
      <c r="Z18" s="20"/>
      <c r="AA18" s="3" t="s">
        <v>56</v>
      </c>
      <c r="AB18" s="3"/>
      <c r="AC18" s="23" t="s">
        <v>57</v>
      </c>
      <c r="AD18" s="23"/>
      <c r="AE18" s="6" t="s">
        <v>58</v>
      </c>
      <c r="AF18" s="6"/>
      <c r="AG18" s="7"/>
      <c r="AH18" s="7"/>
      <c r="AI18" s="3"/>
      <c r="AJ18" s="3"/>
      <c r="AK18" s="21"/>
      <c r="AL18" s="21"/>
      <c r="AM18" s="6"/>
      <c r="AN18" s="6"/>
    </row>
    <row r="19" spans="3:40">
      <c r="C19" s="1"/>
      <c r="D19" s="1"/>
      <c r="E19" s="1"/>
      <c r="F19" s="2"/>
      <c r="G19" s="2"/>
      <c r="H19" s="2"/>
      <c r="I19" s="5"/>
      <c r="J19" s="5"/>
      <c r="K19" s="5"/>
      <c r="L19" s="5"/>
      <c r="M19" s="5"/>
      <c r="N19" s="5"/>
      <c r="S19" s="18"/>
      <c r="T19" s="18"/>
      <c r="U19" s="15"/>
      <c r="V19" s="15"/>
      <c r="W19" s="6"/>
      <c r="X19" s="6"/>
      <c r="Y19" s="20"/>
      <c r="Z19" s="20"/>
      <c r="AA19" s="3"/>
      <c r="AB19" s="3"/>
      <c r="AC19" s="23"/>
      <c r="AD19" s="23"/>
      <c r="AE19" s="6"/>
      <c r="AF19" s="6"/>
      <c r="AG19" s="7"/>
      <c r="AH19" s="7"/>
      <c r="AI19" s="3"/>
      <c r="AJ19" s="3"/>
      <c r="AK19" s="21"/>
      <c r="AL19" s="21"/>
      <c r="AM19" s="6"/>
      <c r="AN19" s="6"/>
    </row>
    <row r="20" spans="3:40">
      <c r="C20" s="1"/>
      <c r="D20" s="1"/>
      <c r="E20" s="1"/>
      <c r="F20" s="2"/>
      <c r="G20" s="2"/>
      <c r="H20" s="2"/>
      <c r="I20" s="5"/>
      <c r="J20" s="5"/>
      <c r="K20" s="5"/>
      <c r="L20" s="5"/>
      <c r="M20" s="5"/>
      <c r="N20" s="5"/>
      <c r="S20" s="23" t="s">
        <v>59</v>
      </c>
      <c r="T20" s="23"/>
      <c r="U20" s="17" t="s">
        <v>60</v>
      </c>
      <c r="V20" s="15"/>
      <c r="W20" s="8" t="s">
        <v>61</v>
      </c>
      <c r="X20" s="8"/>
      <c r="Y20" s="20" t="s">
        <v>62</v>
      </c>
      <c r="Z20" s="20"/>
      <c r="AA20" s="24" t="s">
        <v>63</v>
      </c>
      <c r="AB20" s="24"/>
      <c r="AC20" s="23"/>
      <c r="AD20" s="23"/>
      <c r="AE20" s="6"/>
      <c r="AF20" s="6"/>
      <c r="AG20" s="7" t="s">
        <v>64</v>
      </c>
      <c r="AH20" s="7"/>
      <c r="AI20" s="24" t="s">
        <v>65</v>
      </c>
      <c r="AJ20" s="24"/>
      <c r="AK20" s="21" t="s">
        <v>66</v>
      </c>
      <c r="AL20" s="21"/>
      <c r="AM20" s="8" t="s">
        <v>67</v>
      </c>
      <c r="AN20" s="8"/>
    </row>
    <row r="21" spans="3:40">
      <c r="C21" s="1"/>
      <c r="D21" s="1"/>
      <c r="E21" s="1"/>
      <c r="F21" s="2"/>
      <c r="G21" s="2"/>
      <c r="H21" s="2"/>
      <c r="I21" s="5"/>
      <c r="J21" s="5"/>
      <c r="K21" s="5"/>
      <c r="L21" s="5"/>
      <c r="M21" s="5"/>
      <c r="N21" s="5"/>
      <c r="S21" s="23" t="s">
        <v>68</v>
      </c>
      <c r="T21" s="23"/>
      <c r="U21" s="17"/>
      <c r="V21" s="15"/>
      <c r="W21" s="6"/>
      <c r="X21" s="6"/>
      <c r="Y21" s="20"/>
      <c r="Z21" s="20"/>
      <c r="AA21" s="3"/>
      <c r="AB21" s="3"/>
      <c r="AC21" s="23"/>
      <c r="AD21" s="23"/>
      <c r="AE21" s="6"/>
      <c r="AF21" s="6"/>
      <c r="AG21" s="7"/>
      <c r="AH21" s="7"/>
      <c r="AI21" s="3"/>
      <c r="AJ21" s="3"/>
      <c r="AK21" s="21"/>
      <c r="AL21" s="21"/>
      <c r="AM21" s="6"/>
      <c r="AN21" s="6"/>
    </row>
    <row r="22" spans="3:40">
      <c r="C22" s="1"/>
      <c r="D22" s="1"/>
      <c r="E22" s="1"/>
      <c r="F22" s="2"/>
      <c r="G22" s="2"/>
      <c r="H22" s="2"/>
      <c r="I22" s="5"/>
      <c r="J22" s="5"/>
      <c r="K22" s="5"/>
      <c r="L22" s="5"/>
      <c r="M22" s="5"/>
      <c r="N22" s="5"/>
      <c r="S22" s="18" t="s">
        <v>69</v>
      </c>
      <c r="T22" s="18"/>
      <c r="U22" s="14" t="s">
        <v>70</v>
      </c>
      <c r="V22" s="14"/>
      <c r="W22" s="6"/>
      <c r="X22" s="6"/>
      <c r="Y22" s="20" t="s">
        <v>71</v>
      </c>
      <c r="Z22" s="20"/>
      <c r="AA22" s="3"/>
      <c r="AB22" s="3"/>
      <c r="AC22" s="23"/>
      <c r="AD22" s="23"/>
      <c r="AE22" s="6"/>
      <c r="AF22" s="6"/>
      <c r="AG22" s="7"/>
      <c r="AH22" s="7"/>
      <c r="AI22" s="3"/>
      <c r="AJ22" s="3"/>
      <c r="AK22" s="21"/>
      <c r="AL22" s="21"/>
      <c r="AM22" s="6"/>
      <c r="AN22" s="6"/>
    </row>
    <row r="23" spans="3:40">
      <c r="C23" s="1"/>
      <c r="D23" s="1"/>
      <c r="E23" s="1"/>
      <c r="F23" s="2"/>
      <c r="G23" s="2"/>
      <c r="H23" s="2"/>
      <c r="I23" s="5"/>
      <c r="J23" s="5"/>
      <c r="K23" s="5"/>
      <c r="L23" s="5"/>
      <c r="M23" s="5"/>
      <c r="N23" s="5"/>
      <c r="S23" s="18" t="s">
        <v>72</v>
      </c>
      <c r="T23" s="18"/>
      <c r="U23" s="15"/>
      <c r="V23" s="15"/>
      <c r="W23" s="6"/>
      <c r="X23" s="6"/>
      <c r="Y23" s="20"/>
      <c r="Z23" s="20"/>
      <c r="AA23" s="3"/>
      <c r="AB23" s="3"/>
      <c r="AC23" s="23"/>
      <c r="AD23" s="23"/>
      <c r="AE23" s="6"/>
      <c r="AF23" s="6"/>
      <c r="AG23" s="7"/>
      <c r="AH23" s="7"/>
      <c r="AI23" s="3"/>
      <c r="AJ23" s="3"/>
      <c r="AK23" s="21"/>
      <c r="AL23" s="21"/>
      <c r="AM23" s="6"/>
      <c r="AN23" s="6"/>
    </row>
    <row r="24" spans="3:40">
      <c r="C24" s="1"/>
      <c r="D24" s="1"/>
      <c r="E24" s="1"/>
      <c r="F24" s="2"/>
      <c r="G24" s="2"/>
      <c r="H24" s="2"/>
      <c r="I24" s="5"/>
      <c r="J24" s="5"/>
      <c r="K24" s="5"/>
      <c r="L24" s="5"/>
      <c r="M24" s="5"/>
      <c r="N24" s="5"/>
    </row>
    <row r="25" spans="3:40">
      <c r="C25" s="1"/>
      <c r="D25" s="1"/>
      <c r="E25" s="1"/>
      <c r="F25" s="2"/>
      <c r="G25" s="2"/>
      <c r="H25" s="2"/>
      <c r="I25" s="5"/>
      <c r="J25" s="5"/>
      <c r="K25" s="5"/>
      <c r="L25" s="5"/>
      <c r="M25" s="5"/>
      <c r="N25" s="5"/>
    </row>
    <row r="26" spans="3:40">
      <c r="C26" s="1"/>
      <c r="D26" s="1"/>
      <c r="E26" s="1"/>
      <c r="F26" s="2"/>
      <c r="G26" s="2"/>
      <c r="H26" s="2"/>
      <c r="I26" s="5"/>
      <c r="J26" s="5"/>
      <c r="K26" s="5"/>
      <c r="L26" s="5"/>
      <c r="M26" s="5"/>
      <c r="N26" s="5"/>
    </row>
    <row r="27" spans="3:40">
      <c r="S27" t="s">
        <v>0</v>
      </c>
      <c r="T27" t="s">
        <v>1</v>
      </c>
      <c r="U27" s="6" t="s">
        <v>2</v>
      </c>
      <c r="V27" s="6" t="s">
        <v>3</v>
      </c>
      <c r="W27" s="6" t="s">
        <v>4</v>
      </c>
      <c r="X27" s="7" t="s">
        <v>5</v>
      </c>
      <c r="Y27" s="7" t="s">
        <v>6</v>
      </c>
      <c r="Z27" s="7" t="s">
        <v>7</v>
      </c>
      <c r="AA27" s="3" t="s">
        <v>8</v>
      </c>
      <c r="AB27" s="3" t="s">
        <v>9</v>
      </c>
      <c r="AC27" s="3" t="s">
        <v>10</v>
      </c>
      <c r="AD27" s="8" t="s">
        <v>11</v>
      </c>
      <c r="AE27" s="8" t="s">
        <v>73</v>
      </c>
      <c r="AF27" s="8" t="s">
        <v>13</v>
      </c>
      <c r="AG27" s="8" t="s">
        <v>14</v>
      </c>
      <c r="AH27" s="8" t="s">
        <v>15</v>
      </c>
      <c r="AI27" s="8" t="s">
        <v>16</v>
      </c>
    </row>
    <row r="28" spans="3:40">
      <c r="S28" t="s">
        <v>18</v>
      </c>
      <c r="T28" t="s">
        <v>74</v>
      </c>
      <c r="U28" s="6" t="s">
        <v>18</v>
      </c>
      <c r="V28" s="6" t="s">
        <v>18</v>
      </c>
      <c r="W28" s="6" t="s">
        <v>18</v>
      </c>
      <c r="X28" s="7" t="s">
        <v>20</v>
      </c>
      <c r="Y28" s="7" t="s">
        <v>20</v>
      </c>
      <c r="Z28" s="7" t="s">
        <v>20</v>
      </c>
      <c r="AA28" s="3" t="s">
        <v>21</v>
      </c>
      <c r="AB28" s="3" t="s">
        <v>21</v>
      </c>
      <c r="AC28" s="3" t="s">
        <v>21</v>
      </c>
      <c r="AD28" s="8" t="s">
        <v>25</v>
      </c>
      <c r="AE28" s="8" t="s">
        <v>25</v>
      </c>
      <c r="AF28" s="8" t="s">
        <v>25</v>
      </c>
      <c r="AG28" s="8" t="s">
        <v>25</v>
      </c>
      <c r="AH28" s="8" t="s">
        <v>25</v>
      </c>
      <c r="AI28" s="8" t="s">
        <v>23</v>
      </c>
    </row>
    <row r="29" spans="3:40">
      <c r="S29">
        <v>105</v>
      </c>
      <c r="T29" s="4">
        <v>1350</v>
      </c>
      <c r="U29" s="1">
        <f t="shared" ref="U29:U36" si="53">2*SQRT(2*6378*(6378+S29)*(1-COS(T29/(2*6378)))+S29^2)</f>
        <v>1376.5446190721777</v>
      </c>
      <c r="V29" s="1">
        <f t="shared" ref="V29:V36" si="54">4*SQRT(2*6378*(6378+S29)*(1-COS(T29/(4*6378)))+S29^2)</f>
        <v>1424.2441142151201</v>
      </c>
      <c r="W29" s="1">
        <f>6*SQRT(2*6378*(6378+S29)*(1-COS(T29/(6*6378)))+S29^2)</f>
        <v>1499.7371153568765</v>
      </c>
      <c r="X29" s="2">
        <f t="shared" ref="X29:X36" si="55">57.296*ACOS(U29/(4*6378)-2*S29/U29-S29^2/(U29*6378))-90</f>
        <v>5.7311833667606464</v>
      </c>
      <c r="Y29" s="2">
        <f t="shared" ref="Y29:Y36" si="56">57.296*ACOS(V29/(8*6378)-4*S29/V29-2*S29^2/(V29*6378))-90</f>
        <v>15.629415498456211</v>
      </c>
      <c r="Z29" s="2">
        <f t="shared" ref="Z29:Z36" si="57">57.296*ACOS(W29/(12*6378)-6*S29/W29-3*S29^2/(W29*6378))-90</f>
        <v>23.824921509371805</v>
      </c>
      <c r="AA29" s="5">
        <f t="shared" ref="AA29:AA36" si="58">U29/300</f>
        <v>4.5884820635739256</v>
      </c>
      <c r="AB29" s="5">
        <f t="shared" ref="AB29:AB36" si="59">V29/300</f>
        <v>4.7474803807170671</v>
      </c>
      <c r="AC29" s="5">
        <f t="shared" ref="AC29:AC36" si="60">W29/300</f>
        <v>4.9991237178562553</v>
      </c>
      <c r="AD29" s="5">
        <f>AB29-AA29</f>
        <v>0.1589983171431415</v>
      </c>
      <c r="AE29" s="5">
        <f>AC29-AB29</f>
        <v>0.25164333713918818</v>
      </c>
      <c r="AF29" s="5" t="s">
        <v>27</v>
      </c>
    </row>
    <row r="30" spans="3:40">
      <c r="S30">
        <v>225</v>
      </c>
      <c r="T30">
        <f>T29</f>
        <v>1350</v>
      </c>
      <c r="U30" s="1">
        <f t="shared" si="53"/>
        <v>1444.8296927223348</v>
      </c>
      <c r="V30" s="1">
        <f t="shared" si="54"/>
        <v>1642.0575636398362</v>
      </c>
      <c r="W30" s="1">
        <f t="shared" ref="W30:W36" si="61">6*SQRT(2*6378*(6378+S30)*(1-COS(T30/(6*6378)))+S30^2)</f>
        <v>1925.9017641580022</v>
      </c>
      <c r="X30" s="2">
        <f t="shared" si="55"/>
        <v>15.089202416080923</v>
      </c>
      <c r="Y30" s="2">
        <f t="shared" si="56"/>
        <v>31.707661317980609</v>
      </c>
      <c r="Z30" s="2">
        <f t="shared" si="57"/>
        <v>43.486033635345024</v>
      </c>
      <c r="AA30" s="5">
        <f t="shared" si="58"/>
        <v>4.8160989757411157</v>
      </c>
      <c r="AB30" s="5">
        <f t="shared" si="59"/>
        <v>5.4735252121327873</v>
      </c>
      <c r="AC30" s="5">
        <f t="shared" si="60"/>
        <v>6.4196725471933407</v>
      </c>
      <c r="AD30" s="5">
        <f t="shared" ref="AD30:AD36" si="62">AB30-AA30</f>
        <v>0.65742623639167164</v>
      </c>
      <c r="AE30" s="5">
        <f t="shared" ref="AE30:AE36" si="63">AC30-AB30</f>
        <v>0.94614733506055337</v>
      </c>
      <c r="AF30" s="5">
        <f t="shared" ref="AF30:AF36" si="64">AA30-$AA$29</f>
        <v>0.22761691216719004</v>
      </c>
      <c r="AG30" s="5">
        <f t="shared" ref="AG30:AG36" si="65">AB30-$AB$29</f>
        <v>0.72604483141572018</v>
      </c>
      <c r="AH30" s="5">
        <f t="shared" ref="AH30:AH36" si="66">$AB$29-$AA$29</f>
        <v>0.1589983171431415</v>
      </c>
      <c r="AI30" s="5">
        <f t="shared" ref="AI30:AI36" si="67">AB30-$AA$29</f>
        <v>0.88504314855886168</v>
      </c>
    </row>
    <row r="31" spans="3:40">
      <c r="S31">
        <f t="shared" ref="S31:S36" si="68">S30+25</f>
        <v>250</v>
      </c>
      <c r="T31">
        <f t="shared" ref="T31:T36" si="69">T30</f>
        <v>1350</v>
      </c>
      <c r="U31" s="1">
        <f t="shared" si="53"/>
        <v>1463.6153431757684</v>
      </c>
      <c r="V31" s="1">
        <f t="shared" si="54"/>
        <v>1701.027651922446</v>
      </c>
      <c r="W31" s="1">
        <f t="shared" si="61"/>
        <v>2035.6179802307111</v>
      </c>
      <c r="X31" s="2">
        <f t="shared" si="55"/>
        <v>16.914976093404789</v>
      </c>
      <c r="Y31" s="2">
        <f t="shared" si="56"/>
        <v>34.476672389342056</v>
      </c>
      <c r="Z31" s="2">
        <f t="shared" si="57"/>
        <v>46.446240523341118</v>
      </c>
      <c r="AA31" s="5">
        <f t="shared" si="58"/>
        <v>4.8787178105858944</v>
      </c>
      <c r="AB31" s="5">
        <f t="shared" si="59"/>
        <v>5.6700921730748197</v>
      </c>
      <c r="AC31" s="5">
        <f t="shared" si="60"/>
        <v>6.7853932674357038</v>
      </c>
      <c r="AD31" s="5">
        <f t="shared" si="62"/>
        <v>0.79137436248892534</v>
      </c>
      <c r="AE31" s="5">
        <f t="shared" si="63"/>
        <v>1.1153010943608841</v>
      </c>
      <c r="AF31" s="5">
        <f t="shared" si="64"/>
        <v>0.29023574701196875</v>
      </c>
      <c r="AG31" s="5">
        <f t="shared" si="65"/>
        <v>0.92261179235775259</v>
      </c>
      <c r="AH31" s="5">
        <f t="shared" si="66"/>
        <v>0.1589983171431415</v>
      </c>
      <c r="AI31" s="5">
        <f t="shared" si="67"/>
        <v>1.0816101095008941</v>
      </c>
    </row>
    <row r="32" spans="3:40">
      <c r="S32">
        <f t="shared" si="68"/>
        <v>275</v>
      </c>
      <c r="T32">
        <f t="shared" si="69"/>
        <v>1350</v>
      </c>
      <c r="U32" s="1">
        <f t="shared" si="53"/>
        <v>1483.848679814397</v>
      </c>
      <c r="V32" s="1">
        <f t="shared" si="54"/>
        <v>1763.6998335609114</v>
      </c>
      <c r="W32" s="1">
        <f t="shared" si="61"/>
        <v>2150.2054594131728</v>
      </c>
      <c r="X32" s="2">
        <f t="shared" si="55"/>
        <v>18.692723971747597</v>
      </c>
      <c r="Y32" s="2">
        <f t="shared" si="56"/>
        <v>37.054571174316294</v>
      </c>
      <c r="Z32" s="2">
        <f t="shared" si="57"/>
        <v>49.097413073656355</v>
      </c>
      <c r="AA32" s="5">
        <f t="shared" si="58"/>
        <v>4.94616226604799</v>
      </c>
      <c r="AB32" s="5">
        <f t="shared" si="59"/>
        <v>5.8789994452030383</v>
      </c>
      <c r="AC32" s="5">
        <f t="shared" si="60"/>
        <v>7.1673515313772427</v>
      </c>
      <c r="AD32" s="5">
        <f t="shared" si="62"/>
        <v>0.93283717915504827</v>
      </c>
      <c r="AE32" s="5">
        <f t="shared" si="63"/>
        <v>1.2883520861742044</v>
      </c>
      <c r="AF32" s="5">
        <f t="shared" si="64"/>
        <v>0.3576802024740644</v>
      </c>
      <c r="AG32" s="5">
        <f t="shared" si="65"/>
        <v>1.1315190644859712</v>
      </c>
      <c r="AH32" s="5">
        <f t="shared" si="66"/>
        <v>0.1589983171431415</v>
      </c>
      <c r="AI32" s="5">
        <f t="shared" si="67"/>
        <v>1.2905173816291127</v>
      </c>
    </row>
    <row r="33" spans="1:35">
      <c r="S33">
        <f t="shared" si="68"/>
        <v>300</v>
      </c>
      <c r="T33">
        <f t="shared" si="69"/>
        <v>1350</v>
      </c>
      <c r="U33" s="1">
        <f t="shared" si="53"/>
        <v>1505.4713336341993</v>
      </c>
      <c r="V33" s="1">
        <f t="shared" si="54"/>
        <v>1829.69372661131</v>
      </c>
      <c r="W33" s="1">
        <f t="shared" si="61"/>
        <v>2268.9262821744273</v>
      </c>
      <c r="X33" s="2">
        <f t="shared" si="55"/>
        <v>20.42103065763115</v>
      </c>
      <c r="Y33" s="2">
        <f t="shared" si="56"/>
        <v>39.451079482936052</v>
      </c>
      <c r="Z33" s="2">
        <f t="shared" si="57"/>
        <v>51.475806155662781</v>
      </c>
      <c r="AA33" s="5">
        <f t="shared" si="58"/>
        <v>5.018237778780664</v>
      </c>
      <c r="AB33" s="5">
        <f t="shared" si="59"/>
        <v>6.0989790887043664</v>
      </c>
      <c r="AC33" s="5">
        <f t="shared" si="60"/>
        <v>7.5630876072480913</v>
      </c>
      <c r="AD33" s="5">
        <f t="shared" si="62"/>
        <v>1.0807413099237024</v>
      </c>
      <c r="AE33" s="5">
        <f t="shared" si="63"/>
        <v>1.4641085185437248</v>
      </c>
      <c r="AF33" s="5">
        <f t="shared" si="64"/>
        <v>0.42975571520673839</v>
      </c>
      <c r="AG33" s="5">
        <f t="shared" si="65"/>
        <v>1.3514987079872993</v>
      </c>
      <c r="AH33" s="5">
        <f t="shared" si="66"/>
        <v>0.1589983171431415</v>
      </c>
      <c r="AI33" s="5">
        <f t="shared" si="67"/>
        <v>1.5104970251304408</v>
      </c>
    </row>
    <row r="34" spans="1:35">
      <c r="S34">
        <f t="shared" si="68"/>
        <v>325</v>
      </c>
      <c r="T34">
        <f t="shared" si="69"/>
        <v>1350</v>
      </c>
      <c r="U34" s="1">
        <f t="shared" si="53"/>
        <v>1528.4243416675033</v>
      </c>
      <c r="V34" s="1">
        <f t="shared" si="54"/>
        <v>1898.662993661271</v>
      </c>
      <c r="W34" s="1">
        <f t="shared" si="61"/>
        <v>2391.164868885774</v>
      </c>
      <c r="X34" s="2">
        <f t="shared" si="55"/>
        <v>22.098917591629842</v>
      </c>
      <c r="Y34" s="2">
        <f t="shared" si="56"/>
        <v>41.677147108573536</v>
      </c>
      <c r="Z34" s="2">
        <f t="shared" si="57"/>
        <v>53.614409233895287</v>
      </c>
      <c r="AA34" s="5">
        <f t="shared" si="58"/>
        <v>5.0947478055583444</v>
      </c>
      <c r="AB34" s="5">
        <f t="shared" si="59"/>
        <v>6.3288766455375702</v>
      </c>
      <c r="AC34" s="5">
        <f t="shared" si="60"/>
        <v>7.9705495629525798</v>
      </c>
      <c r="AD34" s="5">
        <f t="shared" si="62"/>
        <v>1.2341288399792258</v>
      </c>
      <c r="AE34" s="5">
        <f t="shared" si="63"/>
        <v>1.6416729174150095</v>
      </c>
      <c r="AF34" s="5">
        <f t="shared" si="64"/>
        <v>0.50626574198441876</v>
      </c>
      <c r="AG34" s="5">
        <f t="shared" si="65"/>
        <v>1.5813962648205031</v>
      </c>
      <c r="AH34" s="5">
        <f t="shared" si="66"/>
        <v>0.1589983171431415</v>
      </c>
      <c r="AI34" s="5">
        <f t="shared" si="67"/>
        <v>1.7403945819636446</v>
      </c>
    </row>
    <row r="35" spans="1:35">
      <c r="S35">
        <f t="shared" si="68"/>
        <v>350</v>
      </c>
      <c r="T35">
        <f t="shared" si="69"/>
        <v>1350</v>
      </c>
      <c r="U35" s="1">
        <f t="shared" si="53"/>
        <v>1552.6487046364182</v>
      </c>
      <c r="V35" s="1">
        <f t="shared" si="54"/>
        <v>1970.2952047337415</v>
      </c>
      <c r="W35" s="1">
        <f t="shared" si="61"/>
        <v>2516.408628670069</v>
      </c>
      <c r="X35" s="2">
        <f t="shared" si="55"/>
        <v>23.725807858793118</v>
      </c>
      <c r="Y35" s="2">
        <f t="shared" si="56"/>
        <v>43.744289565473053</v>
      </c>
      <c r="Z35" s="2">
        <f t="shared" si="57"/>
        <v>55.542602399151122</v>
      </c>
      <c r="AA35" s="5">
        <f t="shared" si="58"/>
        <v>5.1754956821213938</v>
      </c>
      <c r="AB35" s="5">
        <f t="shared" si="59"/>
        <v>6.5676506824458052</v>
      </c>
      <c r="AC35" s="5">
        <f t="shared" si="60"/>
        <v>8.3880287622335636</v>
      </c>
      <c r="AD35" s="5">
        <f t="shared" si="62"/>
        <v>1.3921550003244114</v>
      </c>
      <c r="AE35" s="5">
        <f t="shared" si="63"/>
        <v>1.8203780797877585</v>
      </c>
      <c r="AF35" s="5">
        <f t="shared" si="64"/>
        <v>0.58701361854746814</v>
      </c>
      <c r="AG35" s="5">
        <f t="shared" si="65"/>
        <v>1.8201703017287381</v>
      </c>
      <c r="AH35" s="5">
        <f t="shared" si="66"/>
        <v>0.1589983171431415</v>
      </c>
      <c r="AI35" s="5">
        <f t="shared" si="67"/>
        <v>1.9791686188718796</v>
      </c>
    </row>
    <row r="36" spans="1:35">
      <c r="S36">
        <f t="shared" si="68"/>
        <v>375</v>
      </c>
      <c r="T36">
        <f t="shared" si="69"/>
        <v>1350</v>
      </c>
      <c r="U36" s="1">
        <f t="shared" si="53"/>
        <v>1578.0858759321538</v>
      </c>
      <c r="V36" s="1">
        <f t="shared" si="54"/>
        <v>2044.3104519849162</v>
      </c>
      <c r="W36" s="1">
        <f t="shared" si="61"/>
        <v>2644.2305766889604</v>
      </c>
      <c r="X36" s="2">
        <f t="shared" si="55"/>
        <v>25.301487622619803</v>
      </c>
      <c r="Y36" s="2">
        <f t="shared" si="56"/>
        <v>45.664100633537799</v>
      </c>
      <c r="Z36" s="2">
        <f t="shared" si="57"/>
        <v>57.286198109401823</v>
      </c>
      <c r="AA36" s="5">
        <f t="shared" si="58"/>
        <v>5.2602862531071795</v>
      </c>
      <c r="AB36" s="5">
        <f t="shared" si="59"/>
        <v>6.8143681732830537</v>
      </c>
      <c r="AC36" s="5">
        <f t="shared" si="60"/>
        <v>8.8141019222965351</v>
      </c>
      <c r="AD36" s="5">
        <f t="shared" si="62"/>
        <v>1.5540819201758742</v>
      </c>
      <c r="AE36" s="5">
        <f t="shared" si="63"/>
        <v>1.9997337490134814</v>
      </c>
      <c r="AF36" s="5">
        <f t="shared" si="64"/>
        <v>0.67180418953325383</v>
      </c>
      <c r="AG36" s="5">
        <f t="shared" si="65"/>
        <v>2.0668877925659865</v>
      </c>
      <c r="AH36" s="5">
        <f t="shared" si="66"/>
        <v>0.1589983171431415</v>
      </c>
      <c r="AI36" s="5">
        <f t="shared" si="67"/>
        <v>2.225886109709128</v>
      </c>
    </row>
    <row r="37" spans="1:35">
      <c r="C37" s="1"/>
      <c r="D37" s="1"/>
      <c r="E37" s="1"/>
      <c r="F37" s="2"/>
      <c r="G37" s="2"/>
      <c r="H37" s="2"/>
      <c r="I37" s="5"/>
      <c r="J37" s="5"/>
      <c r="K37" s="5"/>
      <c r="L37" s="5"/>
      <c r="M37" s="5"/>
      <c r="N37" s="5"/>
    </row>
    <row r="38" spans="1:35">
      <c r="A38" t="s">
        <v>0</v>
      </c>
      <c r="B38" t="s">
        <v>1</v>
      </c>
      <c r="C38" s="6" t="s">
        <v>2</v>
      </c>
      <c r="D38" s="6" t="s">
        <v>3</v>
      </c>
      <c r="E38" s="6" t="s">
        <v>4</v>
      </c>
      <c r="F38" s="7" t="s">
        <v>5</v>
      </c>
      <c r="G38" s="7" t="s">
        <v>6</v>
      </c>
      <c r="H38" s="7" t="s">
        <v>7</v>
      </c>
      <c r="I38" s="3" t="s">
        <v>8</v>
      </c>
      <c r="J38" s="3" t="s">
        <v>9</v>
      </c>
      <c r="K38" s="3" t="s">
        <v>10</v>
      </c>
      <c r="L38" s="8" t="s">
        <v>11</v>
      </c>
      <c r="M38" s="8" t="s">
        <v>73</v>
      </c>
      <c r="N38" s="8" t="s">
        <v>13</v>
      </c>
      <c r="O38" s="8" t="s">
        <v>14</v>
      </c>
      <c r="P38" s="8" t="s">
        <v>15</v>
      </c>
      <c r="Q38" s="8" t="s">
        <v>16</v>
      </c>
      <c r="R38" t="s">
        <v>75</v>
      </c>
    </row>
    <row r="39" spans="1:35">
      <c r="A39" t="s">
        <v>18</v>
      </c>
      <c r="B39" t="s">
        <v>76</v>
      </c>
      <c r="C39" s="6" t="s">
        <v>18</v>
      </c>
      <c r="D39" s="6" t="s">
        <v>18</v>
      </c>
      <c r="E39" s="6" t="s">
        <v>18</v>
      </c>
      <c r="F39" s="7" t="s">
        <v>20</v>
      </c>
      <c r="G39" s="7" t="s">
        <v>20</v>
      </c>
      <c r="H39" s="7" t="s">
        <v>20</v>
      </c>
      <c r="I39" s="3" t="s">
        <v>21</v>
      </c>
      <c r="J39" s="3" t="s">
        <v>21</v>
      </c>
      <c r="K39" s="3" t="s">
        <v>21</v>
      </c>
      <c r="L39" s="8" t="s">
        <v>25</v>
      </c>
      <c r="M39" s="8" t="s">
        <v>25</v>
      </c>
      <c r="N39" s="8" t="s">
        <v>25</v>
      </c>
      <c r="O39" s="8" t="s">
        <v>25</v>
      </c>
      <c r="P39" s="8" t="s">
        <v>25</v>
      </c>
      <c r="Q39" s="8" t="s">
        <v>23</v>
      </c>
      <c r="R39" t="s">
        <v>77</v>
      </c>
    </row>
    <row r="40" spans="1:35">
      <c r="A40">
        <v>105</v>
      </c>
      <c r="B40" s="4">
        <v>317</v>
      </c>
      <c r="C40" s="1">
        <f t="shared" ref="C40:C47" si="70">2*SQRT(2*6378*(6378+A40)*(1-COS(B40/(2*6378)))+A40^2)</f>
        <v>382.41087560029104</v>
      </c>
      <c r="D40" s="1">
        <f t="shared" ref="D40:D47" si="71">4*SQRT(2*6378*(6378+A40)*(1-COS(B40/(4*6378)))+A40^2)</f>
        <v>527.77080276122967</v>
      </c>
      <c r="E40" s="1">
        <f>6*SQRT(2*6378*(6378+A40)*(1-COS(B40/(6*6378)))+A40^2)</f>
        <v>706.42957918500269</v>
      </c>
      <c r="F40" s="2">
        <f t="shared" ref="F40:F47" si="72">57.296*ACOS(C40/(4*6378)-2*A40/C40-A40^2/(C40*6378))-90</f>
        <v>32.594187145325435</v>
      </c>
      <c r="G40" s="2">
        <f t="shared" ref="G40:G47" si="73">57.296*ACOS(D40/(8*6378)-4*A40/D40-2*A40^2/(D40*6378))-90</f>
        <v>52.374011907280931</v>
      </c>
      <c r="H40" s="2">
        <f t="shared" ref="H40:H47" si="74">57.296*ACOS(E40/(12*6378)-6*A40/E40-3*A40^2/(E40*6378))-90</f>
        <v>62.863716091010872</v>
      </c>
      <c r="I40" s="5">
        <f t="shared" ref="I40:I47" si="75">C40/300</f>
        <v>1.2747029186676369</v>
      </c>
      <c r="J40" s="5">
        <f t="shared" ref="J40:J47" si="76">D40/300</f>
        <v>1.7592360092040988</v>
      </c>
      <c r="K40" s="5">
        <f t="shared" ref="K40:K47" si="77">E40/300</f>
        <v>2.354765263950009</v>
      </c>
      <c r="L40" s="5">
        <f>J40-I40</f>
        <v>0.48453309053646199</v>
      </c>
      <c r="M40" s="5">
        <f>K40-J40</f>
        <v>0.59552925474591012</v>
      </c>
      <c r="N40" s="5" t="s">
        <v>27</v>
      </c>
    </row>
    <row r="41" spans="1:35">
      <c r="A41">
        <v>225</v>
      </c>
      <c r="B41">
        <f>B40</f>
        <v>317</v>
      </c>
      <c r="C41" s="1">
        <f t="shared" si="70"/>
        <v>553.6502943176057</v>
      </c>
      <c r="D41" s="1">
        <f t="shared" si="71"/>
        <v>956.05055506638303</v>
      </c>
      <c r="E41" s="1">
        <f t="shared" ref="E41:E47" si="78">6*SQRT(2*6378*(6378+A41)*(1-COS(B41/(6*6378)))+A41^2)</f>
        <v>1387.9961842372352</v>
      </c>
      <c r="F41" s="2">
        <f t="shared" si="72"/>
        <v>53.651623980095252</v>
      </c>
      <c r="G41" s="2">
        <f t="shared" si="73"/>
        <v>69.924960390838805</v>
      </c>
      <c r="H41" s="2">
        <f t="shared" si="74"/>
        <v>76.324059449203162</v>
      </c>
      <c r="I41" s="5">
        <f t="shared" si="75"/>
        <v>1.8455009810586858</v>
      </c>
      <c r="J41" s="5">
        <f t="shared" si="76"/>
        <v>3.18683518355461</v>
      </c>
      <c r="K41" s="5">
        <f t="shared" si="77"/>
        <v>4.6266539474574504</v>
      </c>
      <c r="L41" s="5">
        <f t="shared" ref="L41:L47" si="79">J41-I41</f>
        <v>1.3413342024959243</v>
      </c>
      <c r="M41" s="5">
        <f t="shared" ref="M41:M47" si="80">K41-J41</f>
        <v>1.4398187639028404</v>
      </c>
      <c r="N41" s="5">
        <f>I41-$I$40</f>
        <v>0.57079806239104891</v>
      </c>
      <c r="O41" s="5">
        <f>J41-$J$40</f>
        <v>1.4275991743505112</v>
      </c>
      <c r="P41" s="5">
        <f>$J$40-$I$40</f>
        <v>0.48453309053646199</v>
      </c>
      <c r="Q41" s="5">
        <f>J41-$I$40</f>
        <v>1.9121322648869732</v>
      </c>
    </row>
    <row r="42" spans="1:35">
      <c r="A42">
        <f t="shared" ref="A42:A47" si="81">A41+5</f>
        <v>230</v>
      </c>
      <c r="B42">
        <f t="shared" ref="B42:B71" si="82">B41</f>
        <v>317</v>
      </c>
      <c r="C42" s="1">
        <f t="shared" si="70"/>
        <v>561.8784763397058</v>
      </c>
      <c r="D42" s="1">
        <f t="shared" si="71"/>
        <v>974.94176270135165</v>
      </c>
      <c r="E42" s="1">
        <f t="shared" si="78"/>
        <v>1417.2198787897005</v>
      </c>
      <c r="F42" s="2">
        <f t="shared" si="72"/>
        <v>54.235429836312903</v>
      </c>
      <c r="G42" s="2">
        <f t="shared" si="73"/>
        <v>70.314674565822031</v>
      </c>
      <c r="H42" s="2">
        <f t="shared" si="74"/>
        <v>76.601057069435967</v>
      </c>
      <c r="I42" s="5">
        <f t="shared" si="75"/>
        <v>1.872928254465686</v>
      </c>
      <c r="J42" s="5">
        <f t="shared" si="76"/>
        <v>3.2498058756711723</v>
      </c>
      <c r="K42" s="5">
        <f t="shared" si="77"/>
        <v>4.7240662626323351</v>
      </c>
      <c r="L42" s="5">
        <f t="shared" si="79"/>
        <v>1.3768776212054863</v>
      </c>
      <c r="M42" s="5">
        <f t="shared" si="80"/>
        <v>1.4742603869611628</v>
      </c>
      <c r="N42" s="5">
        <f t="shared" ref="N42:N71" si="83">I42-$I$40</f>
        <v>0.59822533579804915</v>
      </c>
      <c r="O42" s="5">
        <f t="shared" ref="O42:O71" si="84">J42-$J$40</f>
        <v>1.4905698664670735</v>
      </c>
      <c r="P42" s="5">
        <f t="shared" ref="P42:P71" si="85">$J$40-$I$40</f>
        <v>0.48453309053646199</v>
      </c>
      <c r="Q42" s="5">
        <f t="shared" ref="Q42:Q71" si="86">J42-$I$40</f>
        <v>1.9751029570035354</v>
      </c>
    </row>
    <row r="43" spans="1:35">
      <c r="A43">
        <f t="shared" si="81"/>
        <v>235</v>
      </c>
      <c r="B43">
        <f t="shared" si="82"/>
        <v>317</v>
      </c>
      <c r="C43" s="1">
        <f t="shared" si="70"/>
        <v>570.16330638658883</v>
      </c>
      <c r="D43" s="1">
        <f t="shared" si="71"/>
        <v>993.87635924983044</v>
      </c>
      <c r="E43" s="1">
        <f t="shared" si="78"/>
        <v>1446.4753583162974</v>
      </c>
      <c r="F43" s="2">
        <f t="shared" si="72"/>
        <v>54.80232700632132</v>
      </c>
      <c r="G43" s="2">
        <f t="shared" si="73"/>
        <v>70.689556446572993</v>
      </c>
      <c r="H43" s="2">
        <f t="shared" si="74"/>
        <v>76.866855943274118</v>
      </c>
      <c r="I43" s="5">
        <f t="shared" si="75"/>
        <v>1.9005443546219627</v>
      </c>
      <c r="J43" s="5">
        <f t="shared" si="76"/>
        <v>3.3129211974994348</v>
      </c>
      <c r="K43" s="5">
        <f t="shared" si="77"/>
        <v>4.821584527720991</v>
      </c>
      <c r="L43" s="5">
        <f t="shared" si="79"/>
        <v>1.4123768428774721</v>
      </c>
      <c r="M43" s="5">
        <f t="shared" si="80"/>
        <v>1.5086633302215562</v>
      </c>
      <c r="N43" s="5">
        <f t="shared" si="83"/>
        <v>0.62584143595432584</v>
      </c>
      <c r="O43" s="5">
        <f t="shared" si="84"/>
        <v>1.553685188295336</v>
      </c>
      <c r="P43" s="5">
        <f t="shared" si="85"/>
        <v>0.48453309053646199</v>
      </c>
      <c r="Q43" s="5">
        <f t="shared" si="86"/>
        <v>2.0382182788317982</v>
      </c>
    </row>
    <row r="44" spans="1:35">
      <c r="A44">
        <f t="shared" si="81"/>
        <v>240</v>
      </c>
      <c r="B44">
        <f t="shared" si="82"/>
        <v>317</v>
      </c>
      <c r="C44" s="1">
        <f t="shared" si="70"/>
        <v>578.50235066553114</v>
      </c>
      <c r="D44" s="1">
        <f t="shared" si="71"/>
        <v>1012.851911333625</v>
      </c>
      <c r="E44" s="1">
        <f t="shared" si="78"/>
        <v>1475.760732502335</v>
      </c>
      <c r="F44" s="2">
        <f t="shared" si="72"/>
        <v>55.352933280186022</v>
      </c>
      <c r="G44" s="2">
        <f t="shared" si="73"/>
        <v>71.05040664192228</v>
      </c>
      <c r="H44" s="2">
        <f t="shared" si="74"/>
        <v>77.122110968291565</v>
      </c>
      <c r="I44" s="5">
        <f t="shared" si="75"/>
        <v>1.9283411688851038</v>
      </c>
      <c r="J44" s="5">
        <f t="shared" si="76"/>
        <v>3.37617303777875</v>
      </c>
      <c r="K44" s="5">
        <f t="shared" si="77"/>
        <v>4.9192024416744502</v>
      </c>
      <c r="L44" s="5">
        <f t="shared" si="79"/>
        <v>1.4478318688936462</v>
      </c>
      <c r="M44" s="5">
        <f t="shared" si="80"/>
        <v>1.5430294038957002</v>
      </c>
      <c r="N44" s="5">
        <f t="shared" si="83"/>
        <v>0.65363825021746691</v>
      </c>
      <c r="O44" s="5">
        <f t="shared" si="84"/>
        <v>1.6169370285746512</v>
      </c>
      <c r="P44" s="5">
        <f t="shared" si="85"/>
        <v>0.48453309053646199</v>
      </c>
      <c r="Q44" s="5">
        <f t="shared" si="86"/>
        <v>2.1014701191111129</v>
      </c>
    </row>
    <row r="45" spans="1:35">
      <c r="A45">
        <f t="shared" si="81"/>
        <v>245</v>
      </c>
      <c r="B45">
        <f t="shared" si="82"/>
        <v>317</v>
      </c>
      <c r="C45" s="1">
        <f t="shared" si="70"/>
        <v>586.89329822498667</v>
      </c>
      <c r="D45" s="1">
        <f t="shared" si="71"/>
        <v>1031.8661594938837</v>
      </c>
      <c r="E45" s="1">
        <f t="shared" si="78"/>
        <v>1505.0742562994678</v>
      </c>
      <c r="F45" s="2">
        <f t="shared" si="72"/>
        <v>55.8878434981265</v>
      </c>
      <c r="G45" s="2">
        <f t="shared" si="73"/>
        <v>71.39797139508596</v>
      </c>
      <c r="H45" s="2">
        <f t="shared" si="74"/>
        <v>77.367427775071178</v>
      </c>
      <c r="I45" s="5">
        <f t="shared" si="75"/>
        <v>1.9563109940832888</v>
      </c>
      <c r="J45" s="5">
        <f t="shared" si="76"/>
        <v>3.4395538649796125</v>
      </c>
      <c r="K45" s="5">
        <f t="shared" si="77"/>
        <v>5.0169141876648924</v>
      </c>
      <c r="L45" s="5">
        <f t="shared" si="79"/>
        <v>1.4832428708963237</v>
      </c>
      <c r="M45" s="5">
        <f t="shared" si="80"/>
        <v>1.5773603226852799</v>
      </c>
      <c r="N45" s="5">
        <f t="shared" si="83"/>
        <v>0.68160807541565194</v>
      </c>
      <c r="O45" s="5">
        <f t="shared" si="84"/>
        <v>1.6803178557755136</v>
      </c>
      <c r="P45" s="5">
        <f t="shared" si="85"/>
        <v>0.48453309053646199</v>
      </c>
      <c r="Q45" s="5">
        <f t="shared" si="86"/>
        <v>2.1648509463119758</v>
      </c>
    </row>
    <row r="46" spans="1:35">
      <c r="A46">
        <f t="shared" si="81"/>
        <v>250</v>
      </c>
      <c r="B46">
        <f t="shared" si="82"/>
        <v>317</v>
      </c>
      <c r="C46" s="1">
        <f t="shared" si="70"/>
        <v>595.33395441320249</v>
      </c>
      <c r="D46" s="1">
        <f t="shared" si="71"/>
        <v>1050.9170033476175</v>
      </c>
      <c r="E46" s="1">
        <f t="shared" si="78"/>
        <v>1534.4143163940316</v>
      </c>
      <c r="F46" s="2">
        <f t="shared" si="72"/>
        <v>56.407630023964288</v>
      </c>
      <c r="G46" s="2">
        <f t="shared" si="73"/>
        <v>71.732946916331997</v>
      </c>
      <c r="H46" s="2">
        <f t="shared" si="74"/>
        <v>77.603367197463911</v>
      </c>
      <c r="I46" s="5">
        <f t="shared" si="75"/>
        <v>1.9844465147106749</v>
      </c>
      <c r="J46" s="5">
        <f t="shared" si="76"/>
        <v>3.5030566778253918</v>
      </c>
      <c r="K46" s="5">
        <f t="shared" si="77"/>
        <v>5.1147143879801051</v>
      </c>
      <c r="L46" s="5">
        <f t="shared" si="79"/>
        <v>1.5186101631147169</v>
      </c>
      <c r="M46" s="5">
        <f t="shared" si="80"/>
        <v>1.6116577101547134</v>
      </c>
      <c r="N46" s="5">
        <f t="shared" si="83"/>
        <v>0.70974359604303805</v>
      </c>
      <c r="O46" s="5">
        <f t="shared" si="84"/>
        <v>1.7438206686212929</v>
      </c>
      <c r="P46" s="5">
        <f t="shared" si="85"/>
        <v>0.48453309053646199</v>
      </c>
      <c r="Q46" s="5">
        <f t="shared" si="86"/>
        <v>2.2283537591577547</v>
      </c>
    </row>
    <row r="47" spans="1:35">
      <c r="A47">
        <f t="shared" si="81"/>
        <v>255</v>
      </c>
      <c r="B47">
        <f t="shared" si="82"/>
        <v>317</v>
      </c>
      <c r="C47" s="1">
        <f t="shared" si="70"/>
        <v>603.82223464619028</v>
      </c>
      <c r="D47" s="1">
        <f t="shared" si="71"/>
        <v>1070.0024881941238</v>
      </c>
      <c r="E47" s="1">
        <f t="shared" si="78"/>
        <v>1563.7794191427802</v>
      </c>
      <c r="F47" s="2">
        <f t="shared" si="72"/>
        <v>56.912843279901807</v>
      </c>
      <c r="G47" s="2">
        <f t="shared" si="73"/>
        <v>72.055983330344844</v>
      </c>
      <c r="H47" s="2">
        <f t="shared" si="74"/>
        <v>77.830449273366042</v>
      </c>
      <c r="I47" s="5">
        <f t="shared" si="75"/>
        <v>2.0127407821539678</v>
      </c>
      <c r="J47" s="5">
        <f t="shared" si="76"/>
        <v>3.5666749606470791</v>
      </c>
      <c r="K47" s="5">
        <f t="shared" si="77"/>
        <v>5.212598063809267</v>
      </c>
      <c r="L47" s="5">
        <f t="shared" si="79"/>
        <v>1.5539341784931113</v>
      </c>
      <c r="M47" s="5">
        <f t="shared" si="80"/>
        <v>1.6459231031621879</v>
      </c>
      <c r="N47" s="5">
        <f t="shared" si="83"/>
        <v>0.73803786348633094</v>
      </c>
      <c r="O47" s="5">
        <f t="shared" si="84"/>
        <v>1.8074389514429803</v>
      </c>
      <c r="P47" s="5">
        <f t="shared" si="85"/>
        <v>0.48453309053646199</v>
      </c>
      <c r="Q47" s="5">
        <f t="shared" si="86"/>
        <v>2.2919720419794425</v>
      </c>
    </row>
    <row r="48" spans="1:35">
      <c r="A48">
        <f t="shared" ref="A48:A71" si="87">A47+5</f>
        <v>260</v>
      </c>
      <c r="B48">
        <f t="shared" si="82"/>
        <v>317</v>
      </c>
      <c r="C48" s="1">
        <f t="shared" ref="C48:C66" si="88">2*SQRT(2*6378*(6378+A48)*(1-COS(B48/(2*6378)))+A48^2)</f>
        <v>612.35615848048496</v>
      </c>
      <c r="D48" s="1">
        <f t="shared" ref="D48:D66" si="89">4*SQRT(2*6378*(6378+A48)*(1-COS(B48/(4*6378)))+A48^2)</f>
        <v>1089.1207929142181</v>
      </c>
      <c r="E48" s="1">
        <f t="shared" ref="E48:E66" si="90">6*SQRT(2*6378*(6378+A48)*(1-COS(B48/(6*6378)))+A48^2)</f>
        <v>1593.1681797958743</v>
      </c>
      <c r="F48" s="2">
        <f t="shared" ref="F48:F66" si="91">57.296*ACOS(C48/(4*6378)-2*A48/C48-A48^2/(C48*6378))-90</f>
        <v>57.404012328559844</v>
      </c>
      <c r="G48" s="2">
        <f t="shared" ref="G48:G66" si="92">57.296*ACOS(D48/(8*6378)-4*A48/D48-2*A48^2/(D48*6378))-90</f>
        <v>72.367688274763225</v>
      </c>
      <c r="H48" s="2">
        <f t="shared" ref="H48:H66" si="93">57.296*ACOS(E48/(12*6378)-6*A48/E48-3*A48^2/(E48*6378))-90</f>
        <v>78.049156831449437</v>
      </c>
      <c r="I48" s="5">
        <f t="shared" ref="I48:I66" si="94">C48/300</f>
        <v>2.0411871949349498</v>
      </c>
      <c r="J48" s="5">
        <f t="shared" ref="J48:J66" si="95">D48/300</f>
        <v>3.6304026430473937</v>
      </c>
      <c r="K48" s="5">
        <f t="shared" ref="K48:K66" si="96">E48/300</f>
        <v>5.3105605993195812</v>
      </c>
      <c r="L48" s="5">
        <f t="shared" ref="L48:L66" si="97">J48-I48</f>
        <v>1.5892154481124439</v>
      </c>
      <c r="M48" s="5">
        <f t="shared" ref="M48:M66" si="98">K48-J48</f>
        <v>1.6801579562721876</v>
      </c>
      <c r="N48" s="5">
        <f t="shared" si="83"/>
        <v>0.76648427626731297</v>
      </c>
      <c r="O48" s="5">
        <f t="shared" si="84"/>
        <v>1.8711666338432948</v>
      </c>
      <c r="P48" s="5">
        <f t="shared" si="85"/>
        <v>0.48453309053646199</v>
      </c>
      <c r="Q48" s="5">
        <f t="shared" si="86"/>
        <v>2.3556997243797566</v>
      </c>
    </row>
    <row r="49" spans="1:17">
      <c r="A49">
        <f t="shared" si="87"/>
        <v>265</v>
      </c>
      <c r="B49">
        <f t="shared" si="82"/>
        <v>317</v>
      </c>
      <c r="C49" s="1">
        <f t="shared" si="88"/>
        <v>620.93384398407113</v>
      </c>
      <c r="D49" s="1">
        <f t="shared" si="89"/>
        <v>1108.2702190235802</v>
      </c>
      <c r="E49" s="1">
        <f t="shared" si="90"/>
        <v>1622.5793128515065</v>
      </c>
      <c r="F49" s="2">
        <f t="shared" si="91"/>
        <v>57.881645490240487</v>
      </c>
      <c r="G49" s="2">
        <f t="shared" si="92"/>
        <v>72.668630182910704</v>
      </c>
      <c r="H49" s="2">
        <f t="shared" si="93"/>
        <v>78.259938712080697</v>
      </c>
      <c r="I49" s="5">
        <f t="shared" si="94"/>
        <v>2.0697794799469036</v>
      </c>
      <c r="J49" s="5">
        <f t="shared" si="95"/>
        <v>3.6942340634119342</v>
      </c>
      <c r="K49" s="5">
        <f t="shared" si="96"/>
        <v>5.4085977095050222</v>
      </c>
      <c r="L49" s="5">
        <f t="shared" si="97"/>
        <v>1.6244545834650306</v>
      </c>
      <c r="M49" s="5">
        <f t="shared" si="98"/>
        <v>1.714363646093088</v>
      </c>
      <c r="N49" s="5">
        <f t="shared" si="83"/>
        <v>0.79507656127926674</v>
      </c>
      <c r="O49" s="5">
        <f t="shared" si="84"/>
        <v>1.9349980542078353</v>
      </c>
      <c r="P49" s="5">
        <f t="shared" si="85"/>
        <v>0.48453309053646199</v>
      </c>
      <c r="Q49" s="5">
        <f t="shared" si="86"/>
        <v>2.4195311447442975</v>
      </c>
    </row>
    <row r="50" spans="1:17">
      <c r="A50">
        <f t="shared" si="87"/>
        <v>270</v>
      </c>
      <c r="B50">
        <f t="shared" si="82"/>
        <v>317</v>
      </c>
      <c r="C50" s="1">
        <f t="shared" si="88"/>
        <v>629.55350239728841</v>
      </c>
      <c r="D50" s="1">
        <f t="shared" si="89"/>
        <v>1127.4491807576314</v>
      </c>
      <c r="E50" s="1">
        <f t="shared" si="90"/>
        <v>1652.0116234074246</v>
      </c>
      <c r="F50" s="2">
        <f t="shared" si="91"/>
        <v>58.346230985173861</v>
      </c>
      <c r="G50" s="2">
        <f t="shared" si="92"/>
        <v>72.959341280574222</v>
      </c>
      <c r="H50" s="2">
        <f t="shared" si="93"/>
        <v>78.463212664479869</v>
      </c>
      <c r="I50" s="5">
        <f t="shared" si="94"/>
        <v>2.0985116746576282</v>
      </c>
      <c r="J50" s="5">
        <f t="shared" si="95"/>
        <v>3.7581639358587715</v>
      </c>
      <c r="K50" s="5">
        <f t="shared" si="96"/>
        <v>5.506705411358082</v>
      </c>
      <c r="L50" s="5">
        <f t="shared" si="97"/>
        <v>1.6596522612011433</v>
      </c>
      <c r="M50" s="5">
        <f t="shared" si="98"/>
        <v>1.7485414754993105</v>
      </c>
      <c r="N50" s="5">
        <f t="shared" si="83"/>
        <v>0.82380875598999137</v>
      </c>
      <c r="O50" s="5">
        <f t="shared" si="84"/>
        <v>1.9989279266546727</v>
      </c>
      <c r="P50" s="5">
        <f t="shared" si="85"/>
        <v>0.48453309053646199</v>
      </c>
      <c r="Q50" s="5">
        <f t="shared" si="86"/>
        <v>2.4834610171911349</v>
      </c>
    </row>
    <row r="51" spans="1:17">
      <c r="A51">
        <f t="shared" si="87"/>
        <v>275</v>
      </c>
      <c r="B51">
        <f t="shared" si="82"/>
        <v>317</v>
      </c>
      <c r="C51" s="1">
        <f t="shared" si="88"/>
        <v>638.21343307435222</v>
      </c>
      <c r="D51" s="1">
        <f t="shared" si="89"/>
        <v>1146.6561960795109</v>
      </c>
      <c r="E51" s="1">
        <f t="shared" si="90"/>
        <v>1681.463999392435</v>
      </c>
      <c r="F51" s="2">
        <f t="shared" si="91"/>
        <v>58.798237592081023</v>
      </c>
      <c r="G51" s="2">
        <f t="shared" si="92"/>
        <v>73.240320323791366</v>
      </c>
      <c r="H51" s="2">
        <f t="shared" si="93"/>
        <v>78.659367956838594</v>
      </c>
      <c r="I51" s="5">
        <f t="shared" si="94"/>
        <v>2.1273781102478408</v>
      </c>
      <c r="J51" s="5">
        <f t="shared" si="95"/>
        <v>3.8221873202650363</v>
      </c>
      <c r="K51" s="5">
        <f t="shared" si="96"/>
        <v>5.6048799979747832</v>
      </c>
      <c r="L51" s="5">
        <f t="shared" si="97"/>
        <v>1.6948092100171954</v>
      </c>
      <c r="M51" s="5">
        <f t="shared" si="98"/>
        <v>1.7826926777097469</v>
      </c>
      <c r="N51" s="5">
        <f t="shared" si="83"/>
        <v>0.85267519158020399</v>
      </c>
      <c r="O51" s="5">
        <f t="shared" si="84"/>
        <v>2.0629513110609374</v>
      </c>
      <c r="P51" s="5">
        <f t="shared" si="85"/>
        <v>0.48453309053646199</v>
      </c>
      <c r="Q51" s="5">
        <f t="shared" si="86"/>
        <v>2.5474844015973996</v>
      </c>
    </row>
    <row r="52" spans="1:17">
      <c r="A52">
        <f t="shared" si="87"/>
        <v>280</v>
      </c>
      <c r="B52">
        <f t="shared" si="82"/>
        <v>317</v>
      </c>
      <c r="C52" s="1">
        <f t="shared" si="88"/>
        <v>646.91201869528481</v>
      </c>
      <c r="D52" s="1">
        <f t="shared" si="89"/>
        <v>1165.889878515125</v>
      </c>
      <c r="E52" s="1">
        <f t="shared" si="90"/>
        <v>1710.9354045762129</v>
      </c>
      <c r="F52" s="2">
        <f t="shared" si="91"/>
        <v>59.238115315758449</v>
      </c>
      <c r="G52" s="2">
        <f t="shared" si="92"/>
        <v>73.512035101981297</v>
      </c>
      <c r="H52" s="2">
        <f t="shared" si="93"/>
        <v>78.848767731518564</v>
      </c>
      <c r="I52" s="5">
        <f t="shared" si="94"/>
        <v>2.1563733956509492</v>
      </c>
      <c r="J52" s="5">
        <f t="shared" si="95"/>
        <v>3.8862995950504167</v>
      </c>
      <c r="K52" s="5">
        <f t="shared" si="96"/>
        <v>5.7031180152540433</v>
      </c>
      <c r="L52" s="5">
        <f t="shared" si="97"/>
        <v>1.7299261993994675</v>
      </c>
      <c r="M52" s="5">
        <f t="shared" si="98"/>
        <v>1.8168184202036266</v>
      </c>
      <c r="N52" s="5">
        <f t="shared" si="83"/>
        <v>0.88167047698331236</v>
      </c>
      <c r="O52" s="5">
        <f t="shared" si="84"/>
        <v>2.1270635858463178</v>
      </c>
      <c r="P52" s="5">
        <f t="shared" si="85"/>
        <v>0.48453309053646199</v>
      </c>
      <c r="Q52" s="5">
        <f t="shared" si="86"/>
        <v>2.6115966763827796</v>
      </c>
    </row>
    <row r="53" spans="1:17">
      <c r="A53">
        <f t="shared" si="87"/>
        <v>285</v>
      </c>
      <c r="B53">
        <f t="shared" si="82"/>
        <v>317</v>
      </c>
      <c r="C53" s="1">
        <f t="shared" si="88"/>
        <v>655.64772073749066</v>
      </c>
      <c r="D53" s="1">
        <f t="shared" si="89"/>
        <v>1185.1489297301382</v>
      </c>
      <c r="E53" s="1">
        <f t="shared" si="90"/>
        <v>1740.4248722688199</v>
      </c>
      <c r="F53" s="2">
        <f t="shared" si="91"/>
        <v>59.666296057586351</v>
      </c>
      <c r="G53" s="2">
        <f t="shared" si="92"/>
        <v>73.774924728368319</v>
      </c>
      <c r="H53" s="2">
        <f t="shared" si="93"/>
        <v>79.03175113347956</v>
      </c>
      <c r="I53" s="5">
        <f t="shared" si="94"/>
        <v>2.1854924024583022</v>
      </c>
      <c r="J53" s="5">
        <f t="shared" si="95"/>
        <v>3.9504964324337939</v>
      </c>
      <c r="K53" s="5">
        <f t="shared" si="96"/>
        <v>5.8014162408960663</v>
      </c>
      <c r="L53" s="5">
        <f t="shared" si="97"/>
        <v>1.7650040299754917</v>
      </c>
      <c r="M53" s="5">
        <f t="shared" si="98"/>
        <v>1.8509198084622724</v>
      </c>
      <c r="N53" s="5">
        <f t="shared" si="83"/>
        <v>0.91078948379066538</v>
      </c>
      <c r="O53" s="5">
        <f t="shared" si="84"/>
        <v>2.1912604232296951</v>
      </c>
      <c r="P53" s="5">
        <f t="shared" si="85"/>
        <v>0.48453309053646199</v>
      </c>
      <c r="Q53" s="5">
        <f t="shared" si="86"/>
        <v>2.6757935137661573</v>
      </c>
    </row>
    <row r="54" spans="1:17">
      <c r="A54">
        <f t="shared" si="87"/>
        <v>290</v>
      </c>
      <c r="B54">
        <f t="shared" si="82"/>
        <v>317</v>
      </c>
      <c r="C54" s="1">
        <f t="shared" si="88"/>
        <v>664.41907519586186</v>
      </c>
      <c r="D54" s="1">
        <f t="shared" si="89"/>
        <v>1204.4321327733546</v>
      </c>
      <c r="E54" s="1">
        <f t="shared" si="90"/>
        <v>1769.9314996325438</v>
      </c>
      <c r="F54" s="2">
        <f t="shared" si="91"/>
        <v>60.083194283900241</v>
      </c>
      <c r="G54" s="2">
        <f t="shared" si="92"/>
        <v>74.029401737495135</v>
      </c>
      <c r="H54" s="2">
        <f t="shared" si="93"/>
        <v>79.208635236645478</v>
      </c>
      <c r="I54" s="5">
        <f t="shared" si="94"/>
        <v>2.214730250652873</v>
      </c>
      <c r="J54" s="5">
        <f t="shared" si="95"/>
        <v>4.0147737759111823</v>
      </c>
      <c r="K54" s="5">
        <f t="shared" si="96"/>
        <v>5.8997716654418131</v>
      </c>
      <c r="L54" s="5">
        <f t="shared" si="97"/>
        <v>1.8000435252583094</v>
      </c>
      <c r="M54" s="5">
        <f t="shared" si="98"/>
        <v>1.8849978895306307</v>
      </c>
      <c r="N54" s="5">
        <f t="shared" si="83"/>
        <v>0.94002733198523614</v>
      </c>
      <c r="O54" s="5">
        <f t="shared" si="84"/>
        <v>2.2555377667070835</v>
      </c>
      <c r="P54" s="5">
        <f t="shared" si="85"/>
        <v>0.48453309053646199</v>
      </c>
      <c r="Q54" s="5">
        <f t="shared" si="86"/>
        <v>2.7400708572435457</v>
      </c>
    </row>
    <row r="55" spans="1:17">
      <c r="A55">
        <f t="shared" si="87"/>
        <v>295</v>
      </c>
      <c r="B55">
        <f t="shared" si="82"/>
        <v>317</v>
      </c>
      <c r="C55" s="1">
        <f t="shared" si="88"/>
        <v>673.22468854015017</v>
      </c>
      <c r="D55" s="1">
        <f t="shared" si="89"/>
        <v>1223.73834591936</v>
      </c>
      <c r="E55" s="1">
        <f t="shared" si="90"/>
        <v>1799.4544425383692</v>
      </c>
      <c r="F55" s="2">
        <f t="shared" si="91"/>
        <v>60.489207688063033</v>
      </c>
      <c r="G55" s="2">
        <f t="shared" si="92"/>
        <v>74.275854007674525</v>
      </c>
      <c r="H55" s="2">
        <f t="shared" si="93"/>
        <v>79.379716789934093</v>
      </c>
      <c r="I55" s="5">
        <f t="shared" si="94"/>
        <v>2.2440822951338339</v>
      </c>
      <c r="J55" s="5">
        <f t="shared" si="95"/>
        <v>4.0791278197312</v>
      </c>
      <c r="K55" s="5">
        <f t="shared" si="96"/>
        <v>5.9981814751278977</v>
      </c>
      <c r="L55" s="5">
        <f t="shared" si="97"/>
        <v>1.835045524597366</v>
      </c>
      <c r="M55" s="5">
        <f t="shared" si="98"/>
        <v>1.9190536553966977</v>
      </c>
      <c r="N55" s="5">
        <f t="shared" si="83"/>
        <v>0.9693793764661971</v>
      </c>
      <c r="O55" s="5">
        <f t="shared" si="84"/>
        <v>2.3198918105271011</v>
      </c>
      <c r="P55" s="5">
        <f t="shared" si="85"/>
        <v>0.48453309053646199</v>
      </c>
      <c r="Q55" s="5">
        <f t="shared" si="86"/>
        <v>2.8044249010635633</v>
      </c>
    </row>
    <row r="56" spans="1:17">
      <c r="A56">
        <f t="shared" si="87"/>
        <v>300</v>
      </c>
      <c r="B56">
        <f t="shared" si="82"/>
        <v>317</v>
      </c>
      <c r="C56" s="1">
        <f t="shared" si="88"/>
        <v>682.06323389832426</v>
      </c>
      <c r="D56" s="1">
        <f t="shared" si="89"/>
        <v>1243.0664970507132</v>
      </c>
      <c r="E56" s="1">
        <f t="shared" si="90"/>
        <v>1828.9929109077052</v>
      </c>
      <c r="F56" s="2">
        <f t="shared" si="91"/>
        <v>60.884717842848175</v>
      </c>
      <c r="G56" s="2">
        <f t="shared" si="92"/>
        <v>74.514646524478565</v>
      </c>
      <c r="H56" s="2">
        <f t="shared" si="93"/>
        <v>79.545273802088417</v>
      </c>
      <c r="I56" s="5">
        <f t="shared" si="94"/>
        <v>2.2735441129944141</v>
      </c>
      <c r="J56" s="5">
        <f t="shared" si="95"/>
        <v>4.1435549901690445</v>
      </c>
      <c r="K56" s="5">
        <f t="shared" si="96"/>
        <v>6.0966430363590174</v>
      </c>
      <c r="L56" s="5">
        <f t="shared" si="97"/>
        <v>1.8700108771746304</v>
      </c>
      <c r="M56" s="5">
        <f t="shared" si="98"/>
        <v>1.9530880461899729</v>
      </c>
      <c r="N56" s="5">
        <f t="shared" si="83"/>
        <v>0.9988411943267772</v>
      </c>
      <c r="O56" s="5">
        <f t="shared" si="84"/>
        <v>2.3843189809649457</v>
      </c>
      <c r="P56" s="5">
        <f t="shared" si="85"/>
        <v>0.48453309053646199</v>
      </c>
      <c r="Q56" s="5">
        <f t="shared" si="86"/>
        <v>2.8688520715014079</v>
      </c>
    </row>
    <row r="57" spans="1:17">
      <c r="A57">
        <f t="shared" si="87"/>
        <v>305</v>
      </c>
      <c r="B57">
        <f t="shared" si="82"/>
        <v>317</v>
      </c>
      <c r="C57" s="1">
        <f t="shared" si="88"/>
        <v>690.93344745474451</v>
      </c>
      <c r="D57" s="1">
        <f t="shared" si="89"/>
        <v>1262.415578526505</v>
      </c>
      <c r="E57" s="1">
        <f t="shared" si="90"/>
        <v>1858.5461644872339</v>
      </c>
      <c r="F57" s="2">
        <f t="shared" si="91"/>
        <v>61.270090840408699</v>
      </c>
      <c r="G57" s="2">
        <f t="shared" si="92"/>
        <v>74.746122999784973</v>
      </c>
      <c r="H57" s="2">
        <f t="shared" si="93"/>
        <v>79.705566982190476</v>
      </c>
      <c r="I57" s="5">
        <f t="shared" si="94"/>
        <v>2.3031114915158151</v>
      </c>
      <c r="J57" s="5">
        <f t="shared" si="95"/>
        <v>4.2080519284216829</v>
      </c>
      <c r="K57" s="5">
        <f t="shared" si="96"/>
        <v>6.1951538816241127</v>
      </c>
      <c r="L57" s="5">
        <f t="shared" si="97"/>
        <v>1.9049404369058678</v>
      </c>
      <c r="M57" s="5">
        <f t="shared" si="98"/>
        <v>1.9871019532024299</v>
      </c>
      <c r="N57" s="5">
        <f t="shared" si="83"/>
        <v>1.0284085728481782</v>
      </c>
      <c r="O57" s="5">
        <f t="shared" si="84"/>
        <v>2.448815919217584</v>
      </c>
      <c r="P57" s="5">
        <f t="shared" si="85"/>
        <v>0.48453309053646199</v>
      </c>
      <c r="Q57" s="5">
        <f t="shared" si="86"/>
        <v>2.9333490097540462</v>
      </c>
    </row>
    <row r="58" spans="1:17">
      <c r="A58">
        <f t="shared" si="87"/>
        <v>310</v>
      </c>
      <c r="B58">
        <f t="shared" si="82"/>
        <v>317</v>
      </c>
      <c r="C58" s="1">
        <f t="shared" si="88"/>
        <v>699.83412505218416</v>
      </c>
      <c r="D58" s="1">
        <f t="shared" si="89"/>
        <v>1281.7846424898721</v>
      </c>
      <c r="E58" s="1">
        <f t="shared" si="90"/>
        <v>1888.1135090109851</v>
      </c>
      <c r="F58" s="2">
        <f t="shared" si="91"/>
        <v>61.64567791767513</v>
      </c>
      <c r="G58" s="2">
        <f t="shared" si="92"/>
        <v>74.970607359479374</v>
      </c>
      <c r="H58" s="2">
        <f t="shared" si="93"/>
        <v>79.860841050777765</v>
      </c>
      <c r="I58" s="5">
        <f t="shared" si="94"/>
        <v>2.3327804168406137</v>
      </c>
      <c r="J58" s="5">
        <f t="shared" si="95"/>
        <v>4.2726154749662406</v>
      </c>
      <c r="K58" s="5">
        <f t="shared" si="96"/>
        <v>6.2937116967032836</v>
      </c>
      <c r="L58" s="5">
        <f t="shared" si="97"/>
        <v>1.939835058125627</v>
      </c>
      <c r="M58" s="5">
        <f t="shared" si="98"/>
        <v>2.021096221737043</v>
      </c>
      <c r="N58" s="5">
        <f t="shared" si="83"/>
        <v>1.0580774981729768</v>
      </c>
      <c r="O58" s="5">
        <f t="shared" si="84"/>
        <v>2.5133794657621418</v>
      </c>
      <c r="P58" s="5">
        <f t="shared" si="85"/>
        <v>0.48453309053646199</v>
      </c>
      <c r="Q58" s="5">
        <f t="shared" si="86"/>
        <v>2.997912556298604</v>
      </c>
    </row>
    <row r="59" spans="1:17">
      <c r="A59">
        <f t="shared" si="87"/>
        <v>315</v>
      </c>
      <c r="B59">
        <f t="shared" si="82"/>
        <v>317</v>
      </c>
      <c r="C59" s="1">
        <f t="shared" si="88"/>
        <v>708.76411898699689</v>
      </c>
      <c r="D59" s="1">
        <f t="shared" si="89"/>
        <v>1301.172796572142</v>
      </c>
      <c r="E59" s="1">
        <f t="shared" si="90"/>
        <v>1917.694292709175</v>
      </c>
      <c r="F59" s="2">
        <f t="shared" si="91"/>
        <v>62.011816065511255</v>
      </c>
      <c r="G59" s="2">
        <f t="shared" si="92"/>
        <v>75.188405111638673</v>
      </c>
      <c r="H59" s="2">
        <f t="shared" si="93"/>
        <v>80.011325934765892</v>
      </c>
      <c r="I59" s="5">
        <f t="shared" si="94"/>
        <v>2.3625470632899894</v>
      </c>
      <c r="J59" s="5">
        <f t="shared" si="95"/>
        <v>4.3372426552404733</v>
      </c>
      <c r="K59" s="5">
        <f t="shared" si="96"/>
        <v>6.3923143090305832</v>
      </c>
      <c r="L59" s="5">
        <f t="shared" si="97"/>
        <v>1.9746955919504838</v>
      </c>
      <c r="M59" s="5">
        <f t="shared" si="98"/>
        <v>2.0550716537901099</v>
      </c>
      <c r="N59" s="5">
        <f t="shared" si="83"/>
        <v>1.0878441446223526</v>
      </c>
      <c r="O59" s="5">
        <f t="shared" si="84"/>
        <v>2.5780066460363744</v>
      </c>
      <c r="P59" s="5">
        <f t="shared" si="85"/>
        <v>0.48453309053646199</v>
      </c>
      <c r="Q59" s="5">
        <f t="shared" si="86"/>
        <v>3.0625397365728366</v>
      </c>
    </row>
    <row r="60" spans="1:17">
      <c r="A60">
        <f t="shared" si="87"/>
        <v>320</v>
      </c>
      <c r="B60">
        <f t="shared" si="82"/>
        <v>317</v>
      </c>
      <c r="C60" s="1">
        <f t="shared" si="88"/>
        <v>717.722334987056</v>
      </c>
      <c r="D60" s="1">
        <f t="shared" si="89"/>
        <v>1320.5791999557803</v>
      </c>
      <c r="E60" s="1">
        <f t="shared" si="90"/>
        <v>1947.2879031280688</v>
      </c>
      <c r="F60" s="2">
        <f t="shared" si="91"/>
        <v>62.368828620367168</v>
      </c>
      <c r="G60" s="2">
        <f t="shared" si="92"/>
        <v>75.399804605871708</v>
      </c>
      <c r="H60" s="2">
        <f t="shared" si="93"/>
        <v>80.157237857882819</v>
      </c>
      <c r="I60" s="5">
        <f t="shared" si="94"/>
        <v>2.3924077832901869</v>
      </c>
      <c r="J60" s="5">
        <f t="shared" si="95"/>
        <v>4.4019306665192675</v>
      </c>
      <c r="K60" s="5">
        <f t="shared" si="96"/>
        <v>6.4909596770935627</v>
      </c>
      <c r="L60" s="5">
        <f t="shared" si="97"/>
        <v>2.0095228832290806</v>
      </c>
      <c r="M60" s="5">
        <f t="shared" si="98"/>
        <v>2.0890290105742952</v>
      </c>
      <c r="N60" s="5">
        <f t="shared" si="83"/>
        <v>1.11770486462255</v>
      </c>
      <c r="O60" s="5">
        <f t="shared" si="84"/>
        <v>2.6426946573151686</v>
      </c>
      <c r="P60" s="5">
        <f t="shared" si="85"/>
        <v>0.48453309053646199</v>
      </c>
      <c r="Q60" s="5">
        <f t="shared" si="86"/>
        <v>3.1272277478516308</v>
      </c>
    </row>
    <row r="61" spans="1:17">
      <c r="A61">
        <f t="shared" si="87"/>
        <v>325</v>
      </c>
      <c r="B61">
        <f t="shared" si="82"/>
        <v>317</v>
      </c>
      <c r="C61" s="1">
        <f t="shared" si="88"/>
        <v>726.70772936245135</v>
      </c>
      <c r="D61" s="1">
        <f t="shared" si="89"/>
        <v>1340.0030597623006</v>
      </c>
      <c r="E61" s="1">
        <f t="shared" si="90"/>
        <v>1976.8937642292462</v>
      </c>
      <c r="F61" s="2">
        <f t="shared" si="91"/>
        <v>62.717025837519543</v>
      </c>
      <c r="G61" s="2">
        <f t="shared" si="92"/>
        <v>75.605078193462077</v>
      </c>
      <c r="H61" s="2">
        <f t="shared" si="93"/>
        <v>80.298780337008338</v>
      </c>
      <c r="I61" s="5">
        <f t="shared" si="94"/>
        <v>2.4223590978748377</v>
      </c>
      <c r="J61" s="5">
        <f t="shared" si="95"/>
        <v>4.4666768658743354</v>
      </c>
      <c r="K61" s="5">
        <f t="shared" si="96"/>
        <v>6.589645880764154</v>
      </c>
      <c r="L61" s="5">
        <f t="shared" si="97"/>
        <v>2.0443177679994977</v>
      </c>
      <c r="M61" s="5">
        <f t="shared" si="98"/>
        <v>2.1229690148898186</v>
      </c>
      <c r="N61" s="5">
        <f t="shared" si="83"/>
        <v>1.1476561792072009</v>
      </c>
      <c r="O61" s="5">
        <f t="shared" si="84"/>
        <v>2.7074408566702366</v>
      </c>
      <c r="P61" s="5">
        <f t="shared" si="85"/>
        <v>0.48453309053646199</v>
      </c>
      <c r="Q61" s="5">
        <f t="shared" si="86"/>
        <v>3.1919739472066988</v>
      </c>
    </row>
    <row r="62" spans="1:17">
      <c r="A62">
        <f t="shared" si="87"/>
        <v>330</v>
      </c>
      <c r="B62">
        <f t="shared" si="82"/>
        <v>317</v>
      </c>
      <c r="C62" s="1">
        <f t="shared" si="88"/>
        <v>735.71930631932423</v>
      </c>
      <c r="D62" s="1">
        <f t="shared" si="89"/>
        <v>1359.4436277348198</v>
      </c>
      <c r="E62" s="1">
        <f t="shared" si="90"/>
        <v>2006.5113337402427</v>
      </c>
      <c r="F62" s="2">
        <f t="shared" si="91"/>
        <v>63.056705445280187</v>
      </c>
      <c r="G62" s="2">
        <f t="shared" si="92"/>
        <v>75.804483297033812</v>
      </c>
      <c r="H62" s="2">
        <f t="shared" si="93"/>
        <v>80.436145093658439</v>
      </c>
      <c r="I62" s="5">
        <f t="shared" si="94"/>
        <v>2.4523976877310809</v>
      </c>
      <c r="J62" s="5">
        <f t="shared" si="95"/>
        <v>4.5314787591160659</v>
      </c>
      <c r="K62" s="5">
        <f t="shared" si="96"/>
        <v>6.6883711124674754</v>
      </c>
      <c r="L62" s="5">
        <f t="shared" si="97"/>
        <v>2.079081071384985</v>
      </c>
      <c r="M62" s="5">
        <f t="shared" si="98"/>
        <v>2.1568923533514095</v>
      </c>
      <c r="N62" s="5">
        <f t="shared" si="83"/>
        <v>1.1776947690634441</v>
      </c>
      <c r="O62" s="5">
        <f t="shared" si="84"/>
        <v>2.7722427499119671</v>
      </c>
      <c r="P62" s="5">
        <f t="shared" si="85"/>
        <v>0.48453309053646199</v>
      </c>
      <c r="Q62" s="5">
        <f t="shared" si="86"/>
        <v>3.2567758404484293</v>
      </c>
    </row>
    <row r="63" spans="1:17">
      <c r="A63">
        <f t="shared" si="87"/>
        <v>335</v>
      </c>
      <c r="B63">
        <f t="shared" si="82"/>
        <v>317</v>
      </c>
      <c r="C63" s="1">
        <f t="shared" si="88"/>
        <v>744.75611542762488</v>
      </c>
      <c r="D63" s="1">
        <f t="shared" si="89"/>
        <v>1378.9001971880657</v>
      </c>
      <c r="E63" s="1">
        <f t="shared" si="90"/>
        <v>2036.1401007316797</v>
      </c>
      <c r="F63" s="2">
        <f t="shared" si="91"/>
        <v>63.3881531798026</v>
      </c>
      <c r="G63" s="2">
        <f t="shared" si="92"/>
        <v>75.998263397624328</v>
      </c>
      <c r="H63" s="2">
        <f t="shared" si="93"/>
        <v>80.569512888846106</v>
      </c>
      <c r="I63" s="5">
        <f t="shared" si="94"/>
        <v>2.4825203847587498</v>
      </c>
      <c r="J63" s="5">
        <f t="shared" si="95"/>
        <v>4.5963339906268859</v>
      </c>
      <c r="K63" s="5">
        <f t="shared" si="96"/>
        <v>6.7871336691055992</v>
      </c>
      <c r="L63" s="5">
        <f t="shared" si="97"/>
        <v>2.113813605868136</v>
      </c>
      <c r="M63" s="5">
        <f t="shared" si="98"/>
        <v>2.1907996784787134</v>
      </c>
      <c r="N63" s="5">
        <f t="shared" si="83"/>
        <v>1.207817466091113</v>
      </c>
      <c r="O63" s="5">
        <f t="shared" si="84"/>
        <v>2.837097981422787</v>
      </c>
      <c r="P63" s="5">
        <f t="shared" si="85"/>
        <v>0.48453309053646199</v>
      </c>
      <c r="Q63" s="5">
        <f t="shared" si="86"/>
        <v>3.3216310719592492</v>
      </c>
    </row>
    <row r="64" spans="1:17">
      <c r="A64">
        <f t="shared" si="87"/>
        <v>340</v>
      </c>
      <c r="B64">
        <f t="shared" si="82"/>
        <v>317</v>
      </c>
      <c r="C64" s="1">
        <f t="shared" si="88"/>
        <v>753.8172492339927</v>
      </c>
      <c r="D64" s="1">
        <f t="shared" si="89"/>
        <v>1398.3721002014329</v>
      </c>
      <c r="E64" s="1">
        <f t="shared" si="90"/>
        <v>2065.779583398767</v>
      </c>
      <c r="F64" s="2">
        <f t="shared" si="91"/>
        <v>63.711643300318201</v>
      </c>
      <c r="G64" s="2">
        <f t="shared" si="92"/>
        <v>76.186648946305468</v>
      </c>
      <c r="H64" s="2">
        <f t="shared" si="93"/>
        <v>80.699054288656242</v>
      </c>
      <c r="I64" s="5">
        <f t="shared" si="94"/>
        <v>2.5127241641133091</v>
      </c>
      <c r="J64" s="5">
        <f t="shared" si="95"/>
        <v>4.6612403340047761</v>
      </c>
      <c r="K64" s="5">
        <f t="shared" si="96"/>
        <v>6.8859319446625564</v>
      </c>
      <c r="L64" s="5">
        <f t="shared" si="97"/>
        <v>2.148516169891467</v>
      </c>
      <c r="M64" s="5">
        <f t="shared" si="98"/>
        <v>2.2246916106577803</v>
      </c>
      <c r="N64" s="5">
        <f t="shared" si="83"/>
        <v>1.2380212454456723</v>
      </c>
      <c r="O64" s="5">
        <f t="shared" si="84"/>
        <v>2.9020043248006773</v>
      </c>
      <c r="P64" s="5">
        <f t="shared" si="85"/>
        <v>0.48453309053646199</v>
      </c>
      <c r="Q64" s="5">
        <f t="shared" si="86"/>
        <v>3.3865374153371395</v>
      </c>
    </row>
    <row r="65" spans="1:17">
      <c r="A65">
        <f t="shared" si="87"/>
        <v>345</v>
      </c>
      <c r="B65">
        <f t="shared" si="82"/>
        <v>317</v>
      </c>
      <c r="C65" s="1">
        <f t="shared" si="88"/>
        <v>762.90184101138561</v>
      </c>
      <c r="D65" s="1">
        <f t="shared" si="89"/>
        <v>1417.8587050331375</v>
      </c>
      <c r="E65" s="1">
        <f t="shared" si="90"/>
        <v>2095.4293270274593</v>
      </c>
      <c r="F65" s="2">
        <f t="shared" si="91"/>
        <v>64.027439084806304</v>
      </c>
      <c r="G65" s="2">
        <f t="shared" si="92"/>
        <v>76.36985820681565</v>
      </c>
      <c r="H65" s="2">
        <f t="shared" si="93"/>
        <v>80.824930367090104</v>
      </c>
      <c r="I65" s="5">
        <f t="shared" si="94"/>
        <v>2.5430061367046188</v>
      </c>
      <c r="J65" s="5">
        <f t="shared" si="95"/>
        <v>4.7261956834437919</v>
      </c>
      <c r="K65" s="5">
        <f t="shared" si="96"/>
        <v>6.9847644234248643</v>
      </c>
      <c r="L65" s="5">
        <f t="shared" si="97"/>
        <v>2.1831895467391731</v>
      </c>
      <c r="M65" s="5">
        <f t="shared" si="98"/>
        <v>2.2585687399810723</v>
      </c>
      <c r="N65" s="5">
        <f t="shared" si="83"/>
        <v>1.268303218036982</v>
      </c>
      <c r="O65" s="5">
        <f t="shared" si="84"/>
        <v>2.9669596742396931</v>
      </c>
      <c r="P65" s="5">
        <f t="shared" si="85"/>
        <v>0.48453309053646199</v>
      </c>
      <c r="Q65" s="5">
        <f t="shared" si="86"/>
        <v>3.4514927647761553</v>
      </c>
    </row>
    <row r="66" spans="1:17">
      <c r="A66">
        <f t="shared" si="87"/>
        <v>350</v>
      </c>
      <c r="B66">
        <f t="shared" si="82"/>
        <v>317</v>
      </c>
      <c r="C66" s="1">
        <f t="shared" si="88"/>
        <v>772.00906263749221</v>
      </c>
      <c r="D66" s="1">
        <f t="shared" si="89"/>
        <v>1437.3594137357311</v>
      </c>
      <c r="E66" s="1">
        <f t="shared" si="90"/>
        <v>2125.0889021277007</v>
      </c>
      <c r="F66" s="2">
        <f t="shared" si="91"/>
        <v>64.335793306238855</v>
      </c>
      <c r="G66" s="2">
        <f t="shared" si="92"/>
        <v>76.548098035062424</v>
      </c>
      <c r="H66" s="2">
        <f t="shared" si="93"/>
        <v>80.947293352042976</v>
      </c>
      <c r="I66" s="5">
        <f t="shared" si="94"/>
        <v>2.5733635421249739</v>
      </c>
      <c r="J66" s="5">
        <f t="shared" si="95"/>
        <v>4.7911980457857704</v>
      </c>
      <c r="K66" s="5">
        <f t="shared" si="96"/>
        <v>7.0836296737590025</v>
      </c>
      <c r="L66" s="5">
        <f t="shared" si="97"/>
        <v>2.2178345036607965</v>
      </c>
      <c r="M66" s="5">
        <f t="shared" si="98"/>
        <v>2.2924316279732322</v>
      </c>
      <c r="N66" s="5">
        <f t="shared" si="83"/>
        <v>1.298660623457337</v>
      </c>
      <c r="O66" s="5">
        <f t="shared" si="84"/>
        <v>3.0319620365816715</v>
      </c>
      <c r="P66" s="5">
        <f t="shared" si="85"/>
        <v>0.48453309053646199</v>
      </c>
      <c r="Q66" s="5">
        <f t="shared" si="86"/>
        <v>3.5164951271181337</v>
      </c>
    </row>
    <row r="67" spans="1:17">
      <c r="A67">
        <f t="shared" si="87"/>
        <v>355</v>
      </c>
      <c r="B67">
        <f t="shared" si="82"/>
        <v>317</v>
      </c>
      <c r="C67" s="1">
        <f t="shared" ref="C67:C71" si="99">2*SQRT(2*6378*(6378+A67)*(1-COS(B67/(2*6378)))+A67^2)</f>
        <v>781.13812259438293</v>
      </c>
      <c r="D67" s="1">
        <f t="shared" ref="D67:D71" si="100">4*SQRT(2*6378*(6378+A67)*(1-COS(B67/(4*6378)))+A67^2)</f>
        <v>1456.873659955181</v>
      </c>
      <c r="E67" s="1">
        <f t="shared" ref="E67:E71" si="101">6*SQRT(2*6378*(6378+A67)*(1-COS(B67/(6*6378)))+A67^2)</f>
        <v>2154.7579027180491</v>
      </c>
      <c r="F67" s="2">
        <f t="shared" ref="F67:F71" si="102">57.296*ACOS(C67/(4*6378)-2*A67/C67-A67^2/(C67*6378))-90</f>
        <v>64.636948689654872</v>
      </c>
      <c r="G67" s="2">
        <f t="shared" ref="G67:G71" si="103">57.296*ACOS(D67/(8*6378)-4*A67/D67-2*A67^2/(D67*6378))-90</f>
        <v>76.721564600812258</v>
      </c>
      <c r="H67" s="2">
        <f t="shared" ref="H67:H71" si="104">57.296*ACOS(E67/(12*6378)-6*A67/E67-3*A67^2/(E67*6378))-90</f>
        <v>81.06628721966203</v>
      </c>
      <c r="I67" s="5">
        <f t="shared" ref="I67:I71" si="105">C67/300</f>
        <v>2.6037937419812764</v>
      </c>
      <c r="J67" s="5">
        <f t="shared" ref="J67:J71" si="106">D67/300</f>
        <v>4.8562455331839365</v>
      </c>
      <c r="K67" s="5">
        <f t="shared" ref="K67:K71" si="107">E67/300</f>
        <v>7.1825263423934969</v>
      </c>
      <c r="L67" s="5">
        <f t="shared" ref="L67:L71" si="108">J67-I67</f>
        <v>2.25245179120266</v>
      </c>
      <c r="M67" s="5">
        <f t="shared" ref="M67:M71" si="109">K67-J67</f>
        <v>2.3262808092095604</v>
      </c>
      <c r="N67" s="5">
        <f t="shared" si="83"/>
        <v>1.3290908233136396</v>
      </c>
      <c r="O67" s="5">
        <f t="shared" si="84"/>
        <v>3.0970095239798376</v>
      </c>
      <c r="P67" s="5">
        <f t="shared" si="85"/>
        <v>0.48453309053646199</v>
      </c>
      <c r="Q67" s="5">
        <f t="shared" si="86"/>
        <v>3.5815426145162998</v>
      </c>
    </row>
    <row r="68" spans="1:17">
      <c r="A68">
        <f t="shared" si="87"/>
        <v>360</v>
      </c>
      <c r="B68">
        <f t="shared" si="82"/>
        <v>317</v>
      </c>
      <c r="C68" s="1">
        <f t="shared" si="99"/>
        <v>790.2882640822495</v>
      </c>
      <c r="D68" s="1">
        <f t="shared" si="100"/>
        <v>1476.400906897474</v>
      </c>
      <c r="E68" s="1">
        <f t="shared" si="101"/>
        <v>2184.4359447476263</v>
      </c>
      <c r="F68" s="2">
        <f t="shared" si="102"/>
        <v>64.931138350410663</v>
      </c>
      <c r="G68" s="2">
        <f t="shared" si="103"/>
        <v>76.890444056389299</v>
      </c>
      <c r="H68" s="2">
        <f t="shared" si="104"/>
        <v>81.182048241798299</v>
      </c>
      <c r="I68" s="5">
        <f t="shared" si="105"/>
        <v>2.6342942136074985</v>
      </c>
      <c r="J68" s="5">
        <f t="shared" si="106"/>
        <v>4.9213363563249137</v>
      </c>
      <c r="K68" s="5">
        <f t="shared" si="107"/>
        <v>7.2814531491587546</v>
      </c>
      <c r="L68" s="5">
        <f t="shared" si="108"/>
        <v>2.2870421427174152</v>
      </c>
      <c r="M68" s="5">
        <f t="shared" si="109"/>
        <v>2.3601167928338409</v>
      </c>
      <c r="N68" s="5">
        <f t="shared" si="83"/>
        <v>1.3595912949398616</v>
      </c>
      <c r="O68" s="5">
        <f t="shared" si="84"/>
        <v>3.1621003471208149</v>
      </c>
      <c r="P68" s="5">
        <f t="shared" si="85"/>
        <v>0.48453309053646199</v>
      </c>
      <c r="Q68" s="5">
        <f t="shared" si="86"/>
        <v>3.6466334376572771</v>
      </c>
    </row>
    <row r="69" spans="1:17">
      <c r="A69">
        <f t="shared" si="87"/>
        <v>365</v>
      </c>
      <c r="B69">
        <f t="shared" si="82"/>
        <v>317</v>
      </c>
      <c r="C69" s="1">
        <f t="shared" si="99"/>
        <v>799.45876324047708</v>
      </c>
      <c r="D69" s="1">
        <f t="shared" si="100"/>
        <v>1495.9406454482621</v>
      </c>
      <c r="E69" s="1">
        <f t="shared" si="101"/>
        <v>2214.1226646428199</v>
      </c>
      <c r="F69" s="2">
        <f t="shared" si="102"/>
        <v>65.21858621402373</v>
      </c>
      <c r="G69" s="2">
        <f t="shared" si="103"/>
        <v>77.054913156765906</v>
      </c>
      <c r="H69" s="2">
        <f t="shared" si="104"/>
        <v>81.294705490775755</v>
      </c>
      <c r="I69" s="5">
        <f t="shared" si="105"/>
        <v>2.6648625441349236</v>
      </c>
      <c r="J69" s="5">
        <f t="shared" si="106"/>
        <v>4.9864688181608736</v>
      </c>
      <c r="K69" s="5">
        <f t="shared" si="107"/>
        <v>7.3804088821427332</v>
      </c>
      <c r="L69" s="5">
        <f t="shared" si="108"/>
        <v>2.32160627402595</v>
      </c>
      <c r="M69" s="5">
        <f t="shared" si="109"/>
        <v>2.3939400639818595</v>
      </c>
      <c r="N69" s="5">
        <f t="shared" si="83"/>
        <v>1.3901596254672868</v>
      </c>
      <c r="O69" s="5">
        <f t="shared" si="84"/>
        <v>3.2272328089567748</v>
      </c>
      <c r="P69" s="5">
        <f t="shared" si="85"/>
        <v>0.48453309053646199</v>
      </c>
      <c r="Q69" s="5">
        <f t="shared" si="86"/>
        <v>3.711765899493237</v>
      </c>
    </row>
    <row r="70" spans="1:17">
      <c r="A70">
        <f t="shared" si="87"/>
        <v>370</v>
      </c>
      <c r="B70">
        <f t="shared" si="82"/>
        <v>317</v>
      </c>
      <c r="C70" s="1">
        <f t="shared" si="99"/>
        <v>808.64892746967223</v>
      </c>
      <c r="D70" s="1">
        <f t="shared" si="100"/>
        <v>1515.4923924324539</v>
      </c>
      <c r="E70" s="1">
        <f t="shared" si="101"/>
        <v>2243.8177179674353</v>
      </c>
      <c r="F70" s="2">
        <f t="shared" si="102"/>
        <v>65.499507418083368</v>
      </c>
      <c r="G70" s="2">
        <f t="shared" si="103"/>
        <v>77.215139835028054</v>
      </c>
      <c r="H70" s="2">
        <f t="shared" si="104"/>
        <v>81.404381305281504</v>
      </c>
      <c r="I70" s="5">
        <f t="shared" si="105"/>
        <v>2.6954964248989075</v>
      </c>
      <c r="J70" s="5">
        <f t="shared" si="106"/>
        <v>5.0516413081081799</v>
      </c>
      <c r="K70" s="5">
        <f t="shared" si="107"/>
        <v>7.4793923932247841</v>
      </c>
      <c r="L70" s="5">
        <f t="shared" si="108"/>
        <v>2.3561448832092724</v>
      </c>
      <c r="M70" s="5">
        <f t="shared" si="109"/>
        <v>2.4277510851166042</v>
      </c>
      <c r="N70" s="5">
        <f t="shared" si="83"/>
        <v>1.4207935062312707</v>
      </c>
      <c r="O70" s="5">
        <f t="shared" si="84"/>
        <v>3.2924052989040811</v>
      </c>
      <c r="P70" s="5">
        <f t="shared" si="85"/>
        <v>0.48453309053646199</v>
      </c>
      <c r="Q70" s="5">
        <f t="shared" si="86"/>
        <v>3.7769383894405433</v>
      </c>
    </row>
    <row r="71" spans="1:17">
      <c r="A71">
        <f t="shared" si="87"/>
        <v>375</v>
      </c>
      <c r="B71">
        <f t="shared" si="82"/>
        <v>317</v>
      </c>
      <c r="C71" s="1">
        <f t="shared" si="99"/>
        <v>817.85809384862671</v>
      </c>
      <c r="D71" s="1">
        <f t="shared" si="100"/>
        <v>1535.0556890019079</v>
      </c>
      <c r="E71" s="1">
        <f t="shared" si="101"/>
        <v>2273.52077818615</v>
      </c>
      <c r="F71" s="2">
        <f t="shared" si="102"/>
        <v>65.774108696745145</v>
      </c>
      <c r="G71" s="2">
        <f t="shared" si="103"/>
        <v>77.371283736839985</v>
      </c>
      <c r="H71" s="2">
        <f t="shared" si="104"/>
        <v>81.511191720802145</v>
      </c>
      <c r="I71" s="5">
        <f t="shared" si="105"/>
        <v>2.726193646162089</v>
      </c>
      <c r="J71" s="5">
        <f t="shared" si="106"/>
        <v>5.1168522966730263</v>
      </c>
      <c r="K71" s="5">
        <f t="shared" si="107"/>
        <v>7.5784025939538333</v>
      </c>
      <c r="L71" s="5">
        <f t="shared" si="108"/>
        <v>2.3906586505109373</v>
      </c>
      <c r="M71" s="5">
        <f t="shared" si="109"/>
        <v>2.461550297280807</v>
      </c>
      <c r="N71" s="5">
        <f t="shared" si="83"/>
        <v>1.4514907274944522</v>
      </c>
      <c r="O71" s="5">
        <f t="shared" si="84"/>
        <v>3.3576162874689275</v>
      </c>
      <c r="P71" s="5">
        <f t="shared" si="85"/>
        <v>0.48453309053646199</v>
      </c>
      <c r="Q71" s="5">
        <f t="shared" si="86"/>
        <v>3.8421493780053897</v>
      </c>
    </row>
    <row r="72" spans="1:17">
      <c r="C72" s="1"/>
      <c r="D72" s="1"/>
      <c r="E72" s="1"/>
      <c r="F72" s="2"/>
      <c r="G72" s="2"/>
      <c r="H72" s="2"/>
      <c r="I72" s="5"/>
      <c r="J72" s="5"/>
      <c r="K72" s="5"/>
      <c r="L72" s="5"/>
      <c r="M72" s="5"/>
      <c r="N72" s="5"/>
      <c r="O72" s="5"/>
      <c r="Q72" s="5"/>
    </row>
    <row r="73" spans="1:17">
      <c r="C73" s="1"/>
      <c r="D73" s="1"/>
      <c r="E73" s="1"/>
      <c r="F73" s="2"/>
      <c r="G73" s="2"/>
      <c r="H73" s="2"/>
      <c r="I73" s="5"/>
      <c r="J73" s="5"/>
      <c r="K73" s="5"/>
      <c r="L73" s="5"/>
      <c r="M73" s="5"/>
      <c r="N73" s="5"/>
      <c r="O73" s="5"/>
      <c r="Q73" s="5"/>
    </row>
    <row r="74" spans="1:17">
      <c r="C74" s="1"/>
      <c r="D74" s="1"/>
      <c r="E74" s="1"/>
      <c r="F74" s="2"/>
      <c r="G74" s="2"/>
      <c r="H74" s="2"/>
      <c r="I74" s="5"/>
      <c r="J74" s="5"/>
      <c r="K74" s="5"/>
      <c r="L74" s="5"/>
      <c r="M74" s="5"/>
      <c r="N74" s="5"/>
      <c r="O74" s="5"/>
      <c r="Q74" s="5"/>
    </row>
    <row r="75" spans="1:17">
      <c r="C75" s="1"/>
      <c r="D75" s="1"/>
      <c r="E75" s="1"/>
      <c r="F75" s="2"/>
      <c r="G75" s="2"/>
      <c r="H75" s="2"/>
      <c r="I75" s="5"/>
      <c r="J75" s="5"/>
      <c r="K75" s="5"/>
      <c r="L75" s="5"/>
      <c r="M75" s="5"/>
      <c r="N75" s="5"/>
      <c r="O75" s="5"/>
      <c r="Q75" s="5"/>
    </row>
    <row r="76" spans="1:17">
      <c r="C76" s="1"/>
      <c r="D76" s="1"/>
      <c r="E76" s="1"/>
      <c r="F76" s="2"/>
      <c r="G76" s="2"/>
      <c r="H76" s="2"/>
      <c r="I76" s="5"/>
      <c r="J76" s="5"/>
      <c r="K76" s="5"/>
      <c r="L76" s="5"/>
      <c r="M76" s="5"/>
      <c r="N76" s="5"/>
      <c r="O76" s="5"/>
      <c r="Q76" s="5"/>
    </row>
    <row r="77" spans="1:17">
      <c r="C77" s="1"/>
      <c r="D77" s="1"/>
      <c r="E77" s="1"/>
      <c r="F77" s="2"/>
      <c r="G77" s="2"/>
      <c r="H77" s="2"/>
      <c r="I77" s="5"/>
      <c r="J77" s="5"/>
      <c r="K77" s="5"/>
      <c r="L77" s="5"/>
      <c r="M77" s="5"/>
      <c r="N77" s="5"/>
      <c r="O77" s="5"/>
    </row>
    <row r="78" spans="1:17">
      <c r="C78" s="1"/>
      <c r="D78" s="1"/>
      <c r="E78" s="1"/>
      <c r="F78" s="2"/>
      <c r="G78" s="2"/>
      <c r="H78" s="2"/>
      <c r="I78" s="5"/>
      <c r="J78" s="5"/>
      <c r="K78" s="5"/>
      <c r="L78" s="5"/>
      <c r="M78" s="5"/>
      <c r="N78" s="5"/>
      <c r="O78" s="5"/>
    </row>
    <row r="79" spans="1:17">
      <c r="C79" s="1"/>
      <c r="D79" s="1"/>
      <c r="E79" s="1"/>
      <c r="F79" s="2"/>
      <c r="G79" s="2"/>
      <c r="H79" s="2"/>
      <c r="I79" s="5"/>
      <c r="J79" s="5"/>
      <c r="K79" s="5"/>
      <c r="L79" s="5"/>
      <c r="M79" s="5"/>
      <c r="N79" s="5"/>
      <c r="O79" s="5"/>
    </row>
    <row r="80" spans="1:17">
      <c r="C80" s="1"/>
      <c r="D80" s="1"/>
      <c r="E80" s="1"/>
      <c r="F80" s="2"/>
      <c r="G80" s="2"/>
      <c r="H80" s="2"/>
      <c r="I80" s="5"/>
      <c r="J80" s="5"/>
      <c r="K80" s="5"/>
      <c r="L80" s="5"/>
      <c r="M80" s="5"/>
      <c r="N80" s="5"/>
      <c r="O80" s="5"/>
    </row>
    <row r="81" spans="3:15">
      <c r="C81" s="1"/>
      <c r="D81" s="1"/>
      <c r="E81" s="1"/>
      <c r="F81" s="2"/>
      <c r="G81" s="2"/>
      <c r="H81" s="2"/>
      <c r="I81" s="5"/>
      <c r="J81" s="5"/>
      <c r="K81" s="5"/>
      <c r="L81" s="5"/>
      <c r="M81" s="5"/>
      <c r="N81" s="5"/>
      <c r="O81" s="5"/>
    </row>
    <row r="82" spans="3:15">
      <c r="C82" s="1"/>
      <c r="D82" s="1"/>
      <c r="E82" s="1"/>
      <c r="F82" s="2"/>
      <c r="G82" s="2"/>
      <c r="H82" s="2"/>
      <c r="I82" s="5"/>
      <c r="J82" s="5"/>
      <c r="K82" s="5"/>
      <c r="L82" s="5"/>
      <c r="M82" s="5"/>
      <c r="N82" s="5"/>
      <c r="O82" s="5"/>
    </row>
    <row r="83" spans="3:15">
      <c r="C83" s="1"/>
      <c r="D83" s="1"/>
      <c r="E83" s="1"/>
      <c r="F83" s="2"/>
      <c r="G83" s="2"/>
      <c r="H83" s="2"/>
      <c r="I83" s="5"/>
      <c r="J83" s="5"/>
      <c r="K83" s="5"/>
      <c r="L83" s="5"/>
      <c r="M83" s="5"/>
      <c r="N83" s="5"/>
      <c r="O83" s="5"/>
    </row>
    <row r="84" spans="3:15">
      <c r="C84" s="1"/>
      <c r="D84" s="1"/>
      <c r="E84" s="1"/>
      <c r="F84" s="2"/>
      <c r="G84" s="2"/>
      <c r="H84" s="2"/>
      <c r="I84" s="5"/>
      <c r="J84" s="5"/>
      <c r="K84" s="5"/>
      <c r="L84" s="5"/>
      <c r="M84" s="5"/>
      <c r="N84" s="5"/>
      <c r="O84" s="5"/>
    </row>
    <row r="85" spans="3:15">
      <c r="C85" s="1"/>
      <c r="D85" s="1"/>
      <c r="E85" s="1"/>
      <c r="F85" s="2"/>
      <c r="G85" s="2"/>
      <c r="H85" s="2"/>
      <c r="I85" s="5"/>
      <c r="J85" s="5"/>
      <c r="K85" s="5"/>
      <c r="L85" s="5"/>
      <c r="M85" s="5"/>
      <c r="N85" s="5"/>
      <c r="O85" s="5"/>
    </row>
    <row r="86" spans="3:15">
      <c r="C86" s="1"/>
      <c r="D86" s="1"/>
      <c r="E86" s="1"/>
      <c r="F86" s="2"/>
      <c r="G86" s="2"/>
      <c r="H86" s="2"/>
      <c r="I86" s="5"/>
      <c r="J86" s="5"/>
      <c r="K86" s="5"/>
      <c r="L86" s="5"/>
      <c r="M86" s="5"/>
      <c r="N86" s="5"/>
    </row>
    <row r="87" spans="3:15">
      <c r="C87" s="1"/>
      <c r="D87" s="1"/>
      <c r="E87" s="1"/>
      <c r="F87" s="2"/>
      <c r="G87" s="2"/>
      <c r="H87" s="2"/>
      <c r="I87" s="5"/>
      <c r="J87" s="5"/>
      <c r="K87" s="5"/>
      <c r="L87" s="5"/>
      <c r="M87" s="5"/>
      <c r="N87" s="5"/>
    </row>
    <row r="88" spans="3:15">
      <c r="C88" s="1"/>
      <c r="D88" s="1"/>
      <c r="E88" s="1"/>
      <c r="F88" s="2"/>
      <c r="G88" s="2"/>
      <c r="H88" s="2"/>
      <c r="I88" s="5"/>
      <c r="J88" s="5"/>
      <c r="K88" s="5"/>
      <c r="L88" s="5"/>
      <c r="M88" s="5"/>
      <c r="N88" s="5"/>
    </row>
    <row r="89" spans="3:15">
      <c r="C89" s="1"/>
      <c r="D89" s="1"/>
      <c r="E89" s="1"/>
      <c r="F89" s="2"/>
      <c r="G89" s="2"/>
      <c r="H89" s="2"/>
      <c r="I89" s="5"/>
      <c r="J89" s="5"/>
      <c r="K89" s="5"/>
      <c r="L89" s="5"/>
      <c r="M89" s="5"/>
      <c r="N89" s="5"/>
    </row>
    <row r="90" spans="3:15">
      <c r="C90" s="1"/>
      <c r="D90" s="1"/>
      <c r="E90" s="1"/>
      <c r="F90" s="2"/>
      <c r="G90" s="2"/>
      <c r="H90" s="2"/>
      <c r="I90" s="5"/>
      <c r="J90" s="5"/>
      <c r="K90" s="5"/>
      <c r="L90" s="5"/>
      <c r="M90" s="5"/>
      <c r="N90" s="5"/>
    </row>
    <row r="91" spans="3:15">
      <c r="C91" s="1"/>
      <c r="D91" s="1"/>
      <c r="E91" s="1"/>
      <c r="F91" s="2"/>
      <c r="G91" s="2"/>
      <c r="H91" s="2"/>
      <c r="I91" s="5"/>
      <c r="J91" s="5"/>
      <c r="K91" s="5"/>
      <c r="L91" s="5"/>
      <c r="M91" s="5"/>
      <c r="N91" s="5"/>
    </row>
    <row r="92" spans="3:15">
      <c r="C92" s="1"/>
      <c r="D92" s="1"/>
      <c r="E92" s="1"/>
      <c r="F92" s="2"/>
      <c r="G92" s="2"/>
      <c r="H92" s="2"/>
      <c r="I92" s="5"/>
      <c r="J92" s="5"/>
      <c r="K92" s="5"/>
      <c r="L92" s="5"/>
      <c r="M92" s="5"/>
      <c r="N92" s="5"/>
    </row>
    <row r="93" spans="3:15">
      <c r="C93" s="1"/>
      <c r="D93" s="1"/>
      <c r="E93" s="1"/>
      <c r="F93" s="2"/>
      <c r="G93" s="2"/>
      <c r="H93" s="2"/>
      <c r="I93" s="5"/>
      <c r="J93" s="5"/>
      <c r="K93" s="5"/>
      <c r="L93" s="5"/>
      <c r="M93" s="5"/>
      <c r="N93" s="5"/>
    </row>
    <row r="94" spans="3:15">
      <c r="C94" s="1"/>
      <c r="D94" s="1"/>
      <c r="E94" s="1"/>
      <c r="F94" s="2"/>
      <c r="G94" s="2"/>
      <c r="H94" s="2"/>
      <c r="I94" s="5"/>
      <c r="J94" s="5"/>
      <c r="K94" s="5"/>
      <c r="L94" s="5"/>
      <c r="M94" s="5"/>
      <c r="N94" s="5"/>
    </row>
    <row r="95" spans="3:15">
      <c r="C95" s="1"/>
      <c r="D95" s="1"/>
      <c r="E95" s="1"/>
      <c r="F95" s="2"/>
      <c r="G95" s="2"/>
      <c r="H95" s="2"/>
      <c r="I95" s="5"/>
      <c r="J95" s="5"/>
      <c r="K95" s="5"/>
      <c r="L95" s="5"/>
      <c r="M95" s="5"/>
      <c r="N95" s="5"/>
    </row>
    <row r="96" spans="3:15">
      <c r="C96" s="1"/>
      <c r="D96" s="1"/>
      <c r="E96" s="1"/>
      <c r="F96" s="2"/>
      <c r="G96" s="2"/>
      <c r="H96" s="2"/>
      <c r="I96" s="5"/>
      <c r="J96" s="5"/>
      <c r="K96" s="5"/>
      <c r="L96" s="5"/>
      <c r="M96" s="5"/>
      <c r="N96" s="5"/>
    </row>
    <row r="97" spans="3:14">
      <c r="C97" s="1"/>
      <c r="D97" s="1"/>
      <c r="E97" s="1"/>
      <c r="F97" s="2"/>
      <c r="G97" s="2"/>
      <c r="H97" s="2"/>
      <c r="I97" s="5"/>
      <c r="J97" s="5"/>
      <c r="K97" s="5"/>
      <c r="L97" s="5"/>
      <c r="M97" s="5"/>
      <c r="N97" s="5"/>
    </row>
    <row r="98" spans="3:14">
      <c r="C98" s="1"/>
      <c r="D98" s="1"/>
      <c r="E98" s="1"/>
      <c r="F98" s="2"/>
      <c r="G98" s="2"/>
      <c r="H98" s="2"/>
      <c r="I98" s="5"/>
      <c r="J98" s="5"/>
      <c r="K98" s="5"/>
      <c r="L98" s="5"/>
      <c r="M98" s="5"/>
      <c r="N98" s="5"/>
    </row>
    <row r="99" spans="3:14">
      <c r="C99" s="1"/>
      <c r="D99" s="1"/>
      <c r="E99" s="1"/>
      <c r="F99" s="2"/>
      <c r="G99" s="2"/>
      <c r="H99" s="2"/>
      <c r="I99" s="5"/>
      <c r="J99" s="5"/>
      <c r="K99" s="5"/>
      <c r="L99" s="5"/>
      <c r="M99" s="5"/>
      <c r="N99" s="5"/>
    </row>
    <row r="100" spans="3:14">
      <c r="C100" s="1"/>
      <c r="D100" s="1"/>
      <c r="E100" s="1"/>
      <c r="F100" s="2"/>
      <c r="G100" s="2"/>
      <c r="H100" s="2"/>
      <c r="I100" s="5"/>
      <c r="J100" s="5"/>
      <c r="K100" s="5"/>
      <c r="L100" s="5"/>
      <c r="M100" s="5"/>
      <c r="N100" s="5"/>
    </row>
    <row r="101" spans="3:14">
      <c r="C101" s="1"/>
      <c r="D101" s="1"/>
      <c r="E101" s="1"/>
      <c r="F101" s="2"/>
      <c r="G101" s="2"/>
      <c r="H101" s="2"/>
      <c r="I101" s="5"/>
      <c r="J101" s="5"/>
      <c r="K101" s="5"/>
      <c r="L101" s="5"/>
      <c r="M101" s="5"/>
      <c r="N101" s="5"/>
    </row>
    <row r="102" spans="3:14">
      <c r="C102" s="1"/>
      <c r="D102" s="1"/>
      <c r="E102" s="1"/>
      <c r="F102" s="2"/>
      <c r="G102" s="2"/>
      <c r="H102" s="2"/>
      <c r="I102" s="5"/>
      <c r="J102" s="5"/>
      <c r="K102" s="5"/>
      <c r="L102" s="5"/>
      <c r="M102" s="5"/>
      <c r="N102" s="5"/>
    </row>
    <row r="103" spans="3:14">
      <c r="C103" s="1"/>
      <c r="D103" s="1"/>
      <c r="E103" s="1"/>
      <c r="F103" s="2"/>
      <c r="G103" s="2"/>
      <c r="H103" s="2"/>
      <c r="I103" s="5"/>
      <c r="J103" s="5"/>
      <c r="K103" s="5"/>
      <c r="L103" s="5"/>
      <c r="M103" s="5"/>
      <c r="N103" s="5"/>
    </row>
    <row r="104" spans="3:14">
      <c r="C104" s="1"/>
      <c r="D104" s="1"/>
      <c r="E104" s="1"/>
      <c r="F104" s="2"/>
      <c r="G104" s="2"/>
      <c r="H104" s="2"/>
      <c r="I104" s="5"/>
      <c r="J104" s="5"/>
      <c r="K104" s="5"/>
      <c r="L104" s="5"/>
      <c r="M104" s="5"/>
      <c r="N104" s="5"/>
    </row>
    <row r="105" spans="3:14">
      <c r="C105" s="1"/>
      <c r="D105" s="1"/>
      <c r="E105" s="1"/>
      <c r="F105" s="2"/>
      <c r="G105" s="2"/>
      <c r="H105" s="2"/>
      <c r="I105" s="5"/>
      <c r="J105" s="5"/>
      <c r="K105" s="5"/>
      <c r="L105" s="5"/>
      <c r="M105" s="5"/>
      <c r="N105" s="5"/>
    </row>
    <row r="106" spans="3:14">
      <c r="C106" s="1"/>
      <c r="D106" s="1"/>
      <c r="E106" s="1"/>
      <c r="F106" s="2"/>
      <c r="G106" s="2"/>
      <c r="H106" s="2"/>
      <c r="I106" s="5"/>
      <c r="J106" s="5"/>
      <c r="K106" s="5"/>
      <c r="L106" s="5"/>
      <c r="M106" s="5"/>
      <c r="N106" s="5"/>
    </row>
    <row r="107" spans="3:14">
      <c r="C107" s="1"/>
      <c r="D107" s="1"/>
      <c r="E107" s="1"/>
      <c r="F107" s="2"/>
      <c r="G107" s="2"/>
      <c r="H107" s="2"/>
      <c r="I107" s="5"/>
      <c r="J107" s="5"/>
      <c r="K107" s="5"/>
      <c r="L107" s="5"/>
      <c r="M107" s="5"/>
      <c r="N107" s="5"/>
    </row>
    <row r="108" spans="3:14">
      <c r="C108" s="1"/>
      <c r="D108" s="1"/>
      <c r="E108" s="1"/>
      <c r="F108" s="2"/>
      <c r="G108" s="2"/>
      <c r="H108" s="2"/>
      <c r="I108" s="5"/>
      <c r="J108" s="5"/>
      <c r="K108" s="5"/>
      <c r="L108" s="5"/>
      <c r="M108" s="5"/>
      <c r="N108" s="5"/>
    </row>
    <row r="109" spans="3:14">
      <c r="C109" s="1"/>
      <c r="D109" s="1"/>
      <c r="E109" s="1"/>
      <c r="F109" s="2"/>
      <c r="G109" s="2"/>
      <c r="H109" s="2"/>
      <c r="I109" s="5"/>
      <c r="J109" s="5"/>
      <c r="K109" s="5"/>
      <c r="L109" s="5"/>
      <c r="M109" s="5"/>
      <c r="N109" s="5"/>
    </row>
    <row r="110" spans="3:14">
      <c r="C110" s="1"/>
      <c r="D110" s="1"/>
      <c r="E110" s="1"/>
      <c r="F110" s="2"/>
      <c r="G110" s="2"/>
      <c r="H110" s="2"/>
      <c r="I110" s="5"/>
      <c r="J110" s="5"/>
      <c r="K110" s="5"/>
      <c r="L110" s="5"/>
      <c r="M110" s="5"/>
      <c r="N110" s="5"/>
    </row>
    <row r="111" spans="3:14">
      <c r="C111" s="1"/>
      <c r="D111" s="1"/>
      <c r="E111" s="1"/>
      <c r="F111" s="2"/>
      <c r="G111" s="2"/>
      <c r="H111" s="2"/>
      <c r="I111" s="5"/>
      <c r="J111" s="5"/>
      <c r="K111" s="5"/>
      <c r="L111" s="5"/>
      <c r="M111" s="5"/>
      <c r="N111" s="5"/>
    </row>
    <row r="112" spans="3:14">
      <c r="C112" s="1"/>
      <c r="D112" s="1"/>
      <c r="E112" s="1"/>
      <c r="F112" s="2"/>
      <c r="G112" s="2"/>
      <c r="H112" s="2"/>
      <c r="I112" s="5"/>
      <c r="J112" s="5"/>
      <c r="K112" s="5"/>
      <c r="L112" s="5"/>
      <c r="M112" s="5"/>
      <c r="N112" s="5"/>
    </row>
    <row r="113" spans="3:14">
      <c r="C113" s="1"/>
      <c r="D113" s="1"/>
      <c r="E113" s="1"/>
      <c r="F113" s="2"/>
      <c r="G113" s="2"/>
      <c r="H113" s="2"/>
      <c r="I113" s="5"/>
      <c r="J113" s="5"/>
      <c r="K113" s="5"/>
      <c r="L113" s="5"/>
      <c r="M113" s="5"/>
      <c r="N113" s="5"/>
    </row>
    <row r="114" spans="3:14">
      <c r="C114" s="1"/>
      <c r="D114" s="1"/>
      <c r="E114" s="1"/>
      <c r="F114" s="2"/>
      <c r="G114" s="2"/>
      <c r="H114" s="2"/>
      <c r="I114" s="5"/>
      <c r="J114" s="5"/>
      <c r="K114" s="5"/>
      <c r="L114" s="5"/>
      <c r="M114" s="5"/>
      <c r="N114" s="5"/>
    </row>
    <row r="115" spans="3:14">
      <c r="C115" s="1"/>
      <c r="D115" s="1"/>
      <c r="E115" s="1"/>
      <c r="F115" s="2"/>
      <c r="G115" s="2"/>
      <c r="H115" s="2"/>
      <c r="I115" s="5"/>
      <c r="J115" s="5"/>
      <c r="K115" s="5"/>
      <c r="L115" s="5"/>
      <c r="M115" s="5"/>
      <c r="N115" s="5"/>
    </row>
    <row r="116" spans="3:14">
      <c r="C116" s="1"/>
      <c r="D116" s="1"/>
      <c r="E116" s="1"/>
      <c r="F116" s="2"/>
      <c r="G116" s="2"/>
      <c r="H116" s="2"/>
      <c r="I116" s="5"/>
      <c r="J116" s="5"/>
      <c r="K116" s="5"/>
      <c r="L116" s="5"/>
      <c r="M116" s="5"/>
      <c r="N116" s="5"/>
    </row>
    <row r="117" spans="3:14">
      <c r="C117" s="1"/>
      <c r="D117" s="1"/>
      <c r="E117" s="1"/>
      <c r="F117" s="2"/>
      <c r="G117" s="2"/>
      <c r="H117" s="2"/>
      <c r="I117" s="5"/>
      <c r="J117" s="5"/>
      <c r="K117" s="5"/>
      <c r="L117" s="5"/>
      <c r="M117" s="5"/>
      <c r="N117" s="5"/>
    </row>
    <row r="118" spans="3:14">
      <c r="C118" s="1"/>
      <c r="D118" s="1"/>
      <c r="E118" s="1"/>
      <c r="F118" s="2"/>
      <c r="G118" s="2"/>
      <c r="H118" s="2"/>
      <c r="I118" s="5"/>
      <c r="J118" s="5"/>
      <c r="K118" s="5"/>
      <c r="L118" s="5"/>
      <c r="M118" s="5"/>
      <c r="N118" s="5"/>
    </row>
    <row r="119" spans="3:14">
      <c r="C119" s="1"/>
      <c r="D119" s="1"/>
      <c r="E119" s="1"/>
      <c r="F119" s="2"/>
      <c r="G119" s="2"/>
      <c r="H119" s="2"/>
      <c r="I119" s="5"/>
      <c r="J119" s="5"/>
      <c r="K119" s="5"/>
      <c r="L119" s="5"/>
      <c r="M119" s="5"/>
      <c r="N119" s="5"/>
    </row>
    <row r="120" spans="3:14">
      <c r="C120" s="1"/>
      <c r="D120" s="1"/>
      <c r="E120" s="1"/>
      <c r="F120" s="2"/>
      <c r="G120" s="2"/>
      <c r="H120" s="2"/>
      <c r="I120" s="5"/>
      <c r="J120" s="5"/>
      <c r="K120" s="5"/>
      <c r="L120" s="5"/>
      <c r="M120" s="5"/>
      <c r="N120" s="5"/>
    </row>
    <row r="121" spans="3:14">
      <c r="C121" s="1"/>
      <c r="D121" s="1"/>
      <c r="E121" s="1"/>
      <c r="F121" s="2"/>
      <c r="G121" s="2"/>
      <c r="H121" s="2"/>
      <c r="I121" s="5"/>
      <c r="J121" s="5"/>
      <c r="K121" s="5"/>
      <c r="L121" s="5"/>
      <c r="M121" s="5"/>
      <c r="N121" s="5"/>
    </row>
    <row r="122" spans="3:14">
      <c r="C122" s="1"/>
      <c r="D122" s="1"/>
      <c r="E122" s="1"/>
      <c r="F122" s="2"/>
      <c r="G122" s="2"/>
      <c r="H122" s="2"/>
      <c r="I122" s="5"/>
      <c r="J122" s="5"/>
      <c r="K122" s="5"/>
      <c r="L122" s="5"/>
      <c r="M122" s="5"/>
      <c r="N122" s="5"/>
    </row>
    <row r="123" spans="3:14">
      <c r="C123" s="1"/>
      <c r="D123" s="1"/>
      <c r="E123" s="1"/>
      <c r="F123" s="2"/>
      <c r="G123" s="2"/>
      <c r="H123" s="2"/>
      <c r="I123" s="5"/>
      <c r="J123" s="5"/>
      <c r="K123" s="5"/>
      <c r="L123" s="5"/>
      <c r="M123" s="5"/>
      <c r="N123" s="5"/>
    </row>
    <row r="124" spans="3:14">
      <c r="C124" s="1"/>
      <c r="D124" s="1"/>
      <c r="E124" s="1"/>
      <c r="F124" s="2"/>
      <c r="G124" s="2"/>
      <c r="H124" s="2"/>
      <c r="I124" s="5"/>
      <c r="J124" s="5"/>
      <c r="K124" s="5"/>
      <c r="L124" s="5"/>
      <c r="M124" s="5"/>
      <c r="N124" s="5"/>
    </row>
    <row r="125" spans="3:14">
      <c r="C125" s="1"/>
      <c r="D125" s="1"/>
      <c r="E125" s="1"/>
      <c r="F125" s="2"/>
      <c r="G125" s="2"/>
      <c r="H125" s="2"/>
      <c r="I125" s="5"/>
      <c r="J125" s="5"/>
      <c r="K125" s="5"/>
      <c r="L125" s="5"/>
      <c r="M125" s="5"/>
      <c r="N125" s="5"/>
    </row>
    <row r="126" spans="3:14">
      <c r="C126" s="1"/>
      <c r="D126" s="1"/>
      <c r="E126" s="1"/>
      <c r="F126" s="2"/>
      <c r="G126" s="2"/>
      <c r="H126" s="2"/>
      <c r="I126" s="5"/>
      <c r="J126" s="5"/>
      <c r="K126" s="5"/>
      <c r="L126" s="5"/>
      <c r="M126" s="5"/>
      <c r="N126" s="5"/>
    </row>
    <row r="127" spans="3:14">
      <c r="C127" s="1"/>
      <c r="D127" s="1"/>
      <c r="E127" s="1"/>
      <c r="F127" s="2"/>
      <c r="G127" s="2"/>
      <c r="H127" s="2"/>
      <c r="I127" s="5"/>
      <c r="J127" s="5"/>
      <c r="K127" s="5"/>
      <c r="L127" s="5"/>
      <c r="M127" s="5"/>
      <c r="N127" s="5"/>
    </row>
    <row r="128" spans="3:14">
      <c r="C128" s="1"/>
      <c r="D128" s="1"/>
      <c r="E128" s="1"/>
      <c r="F128" s="2"/>
      <c r="G128" s="2"/>
      <c r="H128" s="2"/>
      <c r="I128" s="5"/>
      <c r="J128" s="5"/>
      <c r="K128" s="5"/>
      <c r="L128" s="5"/>
      <c r="M128" s="5"/>
      <c r="N128" s="5"/>
    </row>
    <row r="129" spans="3:14">
      <c r="C129" s="1"/>
      <c r="D129" s="1"/>
      <c r="E129" s="1"/>
      <c r="F129" s="2"/>
      <c r="G129" s="2"/>
      <c r="H129" s="2"/>
      <c r="I129" s="5"/>
      <c r="J129" s="5"/>
      <c r="K129" s="5"/>
      <c r="L129" s="5"/>
      <c r="M129" s="5"/>
      <c r="N129" s="5"/>
    </row>
    <row r="130" spans="3:14">
      <c r="C130" s="1"/>
      <c r="D130" s="1"/>
      <c r="E130" s="1"/>
      <c r="F130" s="2"/>
      <c r="G130" s="2"/>
      <c r="H130" s="2"/>
      <c r="I130" s="5"/>
      <c r="J130" s="5"/>
      <c r="K130" s="5"/>
      <c r="L130" s="5"/>
      <c r="M130" s="5"/>
      <c r="N130" s="5"/>
    </row>
    <row r="131" spans="3:14">
      <c r="C131" s="1"/>
      <c r="D131" s="1"/>
      <c r="E131" s="1"/>
      <c r="F131" s="2"/>
      <c r="G131" s="2"/>
      <c r="H131" s="2"/>
      <c r="I131" s="5"/>
      <c r="J131" s="5"/>
      <c r="K131" s="5"/>
      <c r="L131" s="5"/>
      <c r="M131" s="5"/>
      <c r="N131" s="5"/>
    </row>
    <row r="132" spans="3:14">
      <c r="C132" s="1"/>
      <c r="D132" s="1"/>
      <c r="E132" s="1"/>
      <c r="F132" s="2"/>
      <c r="G132" s="2"/>
      <c r="H132" s="2"/>
      <c r="I132" s="5"/>
      <c r="J132" s="5"/>
      <c r="K132" s="5"/>
      <c r="L132" s="5"/>
      <c r="M132" s="5"/>
      <c r="N132" s="5"/>
    </row>
    <row r="133" spans="3:14">
      <c r="C133" s="1"/>
      <c r="D133" s="1"/>
      <c r="E133" s="1"/>
      <c r="F133" s="2"/>
      <c r="G133" s="2"/>
      <c r="H133" s="2"/>
      <c r="I133" s="5"/>
      <c r="J133" s="5"/>
      <c r="K133" s="5"/>
      <c r="L133" s="5"/>
      <c r="M133" s="5"/>
      <c r="N133" s="5"/>
    </row>
    <row r="134" spans="3:14">
      <c r="C134" s="1"/>
      <c r="D134" s="1"/>
      <c r="E134" s="1"/>
      <c r="F134" s="2"/>
      <c r="G134" s="2"/>
      <c r="H134" s="2"/>
      <c r="I134" s="5"/>
      <c r="J134" s="5"/>
      <c r="K134" s="5"/>
      <c r="L134" s="5"/>
      <c r="M134" s="5"/>
      <c r="N134" s="5"/>
    </row>
    <row r="135" spans="3:14">
      <c r="C135" s="1"/>
      <c r="D135" s="1"/>
      <c r="E135" s="1"/>
      <c r="F135" s="2"/>
      <c r="G135" s="2"/>
      <c r="H135" s="2"/>
      <c r="I135" s="5"/>
      <c r="J135" s="5"/>
      <c r="K135" s="5"/>
      <c r="L135" s="5"/>
      <c r="M135" s="5"/>
      <c r="N135" s="5"/>
    </row>
    <row r="136" spans="3:14">
      <c r="C136" s="1"/>
      <c r="D136" s="1"/>
      <c r="E136" s="1"/>
      <c r="F136" s="2"/>
      <c r="G136" s="2"/>
      <c r="H136" s="2"/>
      <c r="I136" s="5"/>
      <c r="J136" s="5"/>
      <c r="K136" s="5"/>
      <c r="L136" s="5"/>
      <c r="M136" s="5"/>
      <c r="N136" s="5"/>
    </row>
    <row r="137" spans="3:14">
      <c r="C137" s="1"/>
      <c r="D137" s="1"/>
      <c r="E137" s="1"/>
      <c r="F137" s="2"/>
      <c r="G137" s="2"/>
      <c r="H137" s="2"/>
      <c r="I137" s="5"/>
      <c r="J137" s="5"/>
      <c r="K137" s="5"/>
      <c r="L137" s="5"/>
      <c r="M137" s="5"/>
      <c r="N137" s="5"/>
    </row>
    <row r="138" spans="3:14">
      <c r="C138" s="1"/>
      <c r="D138" s="1"/>
      <c r="E138" s="1"/>
      <c r="F138" s="2"/>
      <c r="G138" s="2"/>
      <c r="H138" s="2"/>
      <c r="I138" s="5"/>
      <c r="J138" s="5"/>
      <c r="K138" s="5"/>
      <c r="L138" s="5"/>
      <c r="M138" s="5"/>
      <c r="N138" s="5"/>
    </row>
    <row r="139" spans="3:14">
      <c r="C139" s="1"/>
      <c r="D139" s="1"/>
      <c r="E139" s="1"/>
      <c r="F139" s="2"/>
      <c r="G139" s="2"/>
      <c r="H139" s="2"/>
      <c r="I139" s="5"/>
      <c r="J139" s="5"/>
      <c r="K139" s="5"/>
      <c r="L139" s="5"/>
      <c r="M139" s="5"/>
      <c r="N139" s="5"/>
    </row>
    <row r="140" spans="3:14">
      <c r="C140" s="1"/>
      <c r="D140" s="1"/>
      <c r="E140" s="1"/>
      <c r="F140" s="2"/>
      <c r="G140" s="2"/>
      <c r="H140" s="2"/>
      <c r="I140" s="5"/>
      <c r="J140" s="5"/>
      <c r="K140" s="5"/>
      <c r="L140" s="5"/>
      <c r="M140" s="5"/>
      <c r="N140" s="5"/>
    </row>
    <row r="141" spans="3:14">
      <c r="C141" s="1"/>
      <c r="D141" s="1"/>
      <c r="E141" s="1"/>
      <c r="F141" s="2"/>
      <c r="G141" s="2"/>
      <c r="H141" s="2"/>
      <c r="I141" s="5"/>
      <c r="J141" s="5"/>
      <c r="K141" s="5"/>
      <c r="L141" s="5"/>
      <c r="M141" s="5"/>
      <c r="N141" s="5"/>
    </row>
    <row r="142" spans="3:14">
      <c r="C142" s="1"/>
      <c r="D142" s="1"/>
      <c r="E142" s="1"/>
      <c r="F142" s="2"/>
      <c r="G142" s="2"/>
      <c r="H142" s="2"/>
      <c r="I142" s="5"/>
      <c r="J142" s="5"/>
      <c r="K142" s="5"/>
      <c r="L142" s="5"/>
      <c r="M142" s="5"/>
      <c r="N142" s="5"/>
    </row>
    <row r="143" spans="3:14">
      <c r="C143" s="1"/>
      <c r="D143" s="1"/>
      <c r="E143" s="1"/>
      <c r="F143" s="2"/>
      <c r="G143" s="2"/>
      <c r="H143" s="2"/>
      <c r="I143" s="5"/>
      <c r="J143" s="5"/>
      <c r="K143" s="5"/>
      <c r="L143" s="5"/>
      <c r="M143" s="5"/>
      <c r="N143" s="5"/>
    </row>
    <row r="144" spans="3:14">
      <c r="C144" s="1"/>
      <c r="D144" s="1"/>
      <c r="E144" s="1"/>
      <c r="F144" s="2"/>
      <c r="G144" s="2"/>
      <c r="H144" s="2"/>
      <c r="I144" s="5"/>
      <c r="J144" s="5"/>
      <c r="K144" s="5"/>
      <c r="L144" s="5"/>
      <c r="M144" s="5"/>
      <c r="N144" s="5"/>
    </row>
    <row r="145" spans="3:14">
      <c r="C145" s="1"/>
      <c r="D145" s="1"/>
      <c r="E145" s="1"/>
      <c r="F145" s="2"/>
      <c r="G145" s="2"/>
      <c r="H145" s="2"/>
      <c r="I145" s="5"/>
      <c r="J145" s="5"/>
      <c r="K145" s="5"/>
      <c r="L145" s="5"/>
      <c r="M145" s="5"/>
      <c r="N145" s="5"/>
    </row>
    <row r="146" spans="3:14">
      <c r="C146" s="1"/>
      <c r="D146" s="1"/>
      <c r="E146" s="1"/>
      <c r="F146" s="2"/>
      <c r="G146" s="2"/>
      <c r="H146" s="2"/>
      <c r="I146" s="5"/>
      <c r="J146" s="5"/>
      <c r="K146" s="5"/>
      <c r="L146" s="5"/>
      <c r="M146" s="5"/>
      <c r="N146" s="5"/>
    </row>
    <row r="147" spans="3:14">
      <c r="C147" s="1"/>
      <c r="D147" s="1"/>
      <c r="E147" s="1"/>
      <c r="F147" s="2"/>
      <c r="G147" s="2"/>
      <c r="H147" s="2"/>
      <c r="I147" s="5"/>
      <c r="J147" s="5"/>
      <c r="K147" s="5"/>
      <c r="L147" s="5"/>
      <c r="M147" s="5"/>
      <c r="N147" s="5"/>
    </row>
    <row r="148" spans="3:14">
      <c r="C148" s="1"/>
      <c r="D148" s="1"/>
      <c r="E148" s="1"/>
      <c r="F148" s="2"/>
      <c r="G148" s="2"/>
      <c r="H148" s="2"/>
      <c r="I148" s="5"/>
      <c r="J148" s="5"/>
      <c r="K148" s="5"/>
      <c r="L148" s="5"/>
      <c r="M148" s="5"/>
      <c r="N148" s="5"/>
    </row>
    <row r="149" spans="3:14">
      <c r="C149" s="1"/>
      <c r="D149" s="1"/>
      <c r="E149" s="1"/>
      <c r="F149" s="2"/>
      <c r="G149" s="2"/>
      <c r="H149" s="2"/>
      <c r="I149" s="5"/>
      <c r="J149" s="5"/>
      <c r="K149" s="5"/>
      <c r="L149" s="5"/>
      <c r="M149" s="5"/>
      <c r="N149" s="5"/>
    </row>
    <row r="150" spans="3:14">
      <c r="C150" s="1"/>
      <c r="D150" s="1"/>
      <c r="E150" s="1"/>
      <c r="F150" s="2"/>
      <c r="G150" s="2"/>
      <c r="H150" s="2"/>
      <c r="I150" s="5"/>
      <c r="J150" s="5"/>
      <c r="K150" s="5"/>
      <c r="L150" s="5"/>
      <c r="M150" s="5"/>
      <c r="N150" s="5"/>
    </row>
    <row r="151" spans="3:14">
      <c r="C151" s="1"/>
      <c r="D151" s="1"/>
      <c r="E151" s="1"/>
      <c r="F151" s="2"/>
      <c r="G151" s="2"/>
      <c r="H151" s="2"/>
      <c r="I151" s="5"/>
      <c r="J151" s="5"/>
      <c r="K151" s="5"/>
      <c r="L151" s="5"/>
      <c r="M151" s="5"/>
      <c r="N151" s="5"/>
    </row>
    <row r="152" spans="3:14">
      <c r="C152" s="1"/>
      <c r="D152" s="1"/>
      <c r="E152" s="1"/>
      <c r="F152" s="2"/>
      <c r="G152" s="2"/>
      <c r="H152" s="2"/>
      <c r="I152" s="5"/>
      <c r="J152" s="5"/>
      <c r="K152" s="5"/>
      <c r="L152" s="5"/>
      <c r="M152" s="5"/>
      <c r="N152" s="5"/>
    </row>
    <row r="153" spans="3:14">
      <c r="C153" s="1"/>
      <c r="D153" s="1"/>
      <c r="E153" s="1"/>
      <c r="F153" s="2"/>
      <c r="G153" s="2"/>
      <c r="H153" s="2"/>
      <c r="I153" s="5"/>
      <c r="J153" s="5"/>
      <c r="K153" s="5"/>
      <c r="L153" s="5"/>
      <c r="M153" s="5"/>
      <c r="N153" s="5"/>
    </row>
    <row r="154" spans="3:14">
      <c r="C154" s="1"/>
      <c r="D154" s="1"/>
      <c r="E154" s="1"/>
      <c r="F154" s="2"/>
      <c r="G154" s="2"/>
      <c r="H154" s="2"/>
      <c r="I154" s="5"/>
      <c r="J154" s="5"/>
      <c r="K154" s="5"/>
      <c r="L154" s="5"/>
      <c r="M154" s="5"/>
      <c r="N154" s="5"/>
    </row>
    <row r="155" spans="3:14">
      <c r="C155" s="1"/>
      <c r="D155" s="1"/>
      <c r="E155" s="1"/>
      <c r="F155" s="2"/>
      <c r="G155" s="2"/>
      <c r="H155" s="2"/>
      <c r="I155" s="5"/>
      <c r="J155" s="5"/>
      <c r="K155" s="5"/>
      <c r="L155" s="5"/>
      <c r="M155" s="5"/>
      <c r="N155" s="5"/>
    </row>
    <row r="156" spans="3:14">
      <c r="C156" s="1"/>
      <c r="D156" s="1"/>
      <c r="E156" s="1"/>
      <c r="F156" s="2"/>
      <c r="G156" s="2"/>
      <c r="H156" s="2"/>
      <c r="I156" s="5"/>
      <c r="J156" s="5"/>
      <c r="K156" s="5"/>
      <c r="L156" s="5"/>
      <c r="M156" s="5"/>
      <c r="N156" s="5"/>
    </row>
    <row r="157" spans="3:14">
      <c r="C157" s="1"/>
      <c r="D157" s="1"/>
      <c r="E157" s="1"/>
      <c r="F157" s="2"/>
      <c r="G157" s="2"/>
      <c r="H157" s="2"/>
      <c r="I157" s="5"/>
      <c r="J157" s="5"/>
      <c r="K157" s="5"/>
      <c r="L157" s="5"/>
      <c r="M157" s="5"/>
      <c r="N157" s="5"/>
    </row>
    <row r="158" spans="3:14">
      <c r="C158" s="1"/>
      <c r="D158" s="1"/>
      <c r="E158" s="1"/>
      <c r="F158" s="2"/>
      <c r="G158" s="2"/>
      <c r="H158" s="2"/>
      <c r="I158" s="5"/>
      <c r="J158" s="5"/>
      <c r="K158" s="5"/>
      <c r="L158" s="5"/>
      <c r="M158" s="5"/>
      <c r="N158" s="5"/>
    </row>
    <row r="159" spans="3:14">
      <c r="C159" s="1"/>
      <c r="D159" s="1"/>
      <c r="E159" s="1"/>
      <c r="F159" s="2"/>
      <c r="G159" s="2"/>
      <c r="H159" s="2"/>
      <c r="I159" s="5"/>
      <c r="J159" s="5"/>
      <c r="K159" s="5"/>
      <c r="L159" s="5"/>
      <c r="M159" s="5"/>
      <c r="N159" s="5"/>
    </row>
    <row r="160" spans="3:14">
      <c r="C160" s="1"/>
      <c r="D160" s="1"/>
      <c r="E160" s="1"/>
      <c r="F160" s="2"/>
      <c r="G160" s="2"/>
      <c r="H160" s="2"/>
      <c r="I160" s="5"/>
      <c r="J160" s="5"/>
      <c r="K160" s="5"/>
      <c r="L160" s="5"/>
      <c r="M160" s="5"/>
      <c r="N160" s="5"/>
    </row>
    <row r="161" spans="3:14">
      <c r="C161" s="1"/>
      <c r="D161" s="1"/>
      <c r="E161" s="1"/>
      <c r="F161" s="2"/>
      <c r="G161" s="2"/>
      <c r="H161" s="2"/>
      <c r="I161" s="5"/>
      <c r="J161" s="5"/>
      <c r="K161" s="5"/>
      <c r="L161" s="5"/>
      <c r="M161" s="5"/>
      <c r="N161" s="5"/>
    </row>
    <row r="162" spans="3:14">
      <c r="C162" s="1"/>
      <c r="D162" s="1"/>
      <c r="E162" s="1"/>
      <c r="F162" s="2"/>
      <c r="G162" s="2"/>
      <c r="H162" s="2"/>
      <c r="I162" s="5"/>
      <c r="J162" s="5"/>
      <c r="K162" s="5"/>
      <c r="L162" s="5"/>
      <c r="M162" s="5"/>
      <c r="N162" s="5"/>
    </row>
    <row r="163" spans="3:14">
      <c r="C163" s="1"/>
      <c r="D163" s="1"/>
      <c r="E163" s="1"/>
      <c r="F163" s="2"/>
      <c r="G163" s="2"/>
      <c r="H163" s="2"/>
      <c r="I163" s="5"/>
      <c r="J163" s="5"/>
      <c r="K163" s="5"/>
      <c r="L163" s="5"/>
      <c r="M163" s="5"/>
      <c r="N163" s="5"/>
    </row>
    <row r="164" spans="3:14">
      <c r="C164" s="1"/>
      <c r="D164" s="1"/>
      <c r="E164" s="1"/>
      <c r="F164" s="2"/>
      <c r="G164" s="2"/>
      <c r="H164" s="2"/>
      <c r="I164" s="5"/>
      <c r="J164" s="5"/>
      <c r="K164" s="5"/>
      <c r="L164" s="5"/>
      <c r="M164" s="5"/>
      <c r="N164" s="5"/>
    </row>
    <row r="165" spans="3:14">
      <c r="C165" s="1"/>
      <c r="D165" s="1"/>
      <c r="E165" s="1"/>
      <c r="F165" s="2"/>
      <c r="G165" s="2"/>
      <c r="H165" s="2"/>
      <c r="I165" s="5"/>
      <c r="J165" s="5"/>
      <c r="K165" s="5"/>
      <c r="L165" s="5"/>
      <c r="M165" s="5"/>
      <c r="N165" s="5"/>
    </row>
    <row r="166" spans="3:14">
      <c r="C166" s="1"/>
      <c r="D166" s="1"/>
      <c r="E166" s="1"/>
      <c r="F166" s="2"/>
      <c r="G166" s="2"/>
      <c r="H166" s="2"/>
      <c r="I166" s="5"/>
      <c r="J166" s="5"/>
      <c r="K166" s="5"/>
      <c r="L166" s="5"/>
      <c r="M166" s="5"/>
      <c r="N166" s="5"/>
    </row>
    <row r="167" spans="3:14">
      <c r="C167" s="1"/>
      <c r="D167" s="1"/>
      <c r="E167" s="1"/>
      <c r="F167" s="2"/>
      <c r="G167" s="2"/>
      <c r="H167" s="2"/>
      <c r="I167" s="5"/>
      <c r="J167" s="5"/>
      <c r="K167" s="5"/>
      <c r="L167" s="5"/>
      <c r="M167" s="5"/>
      <c r="N167" s="5"/>
    </row>
    <row r="168" spans="3:14">
      <c r="C168" s="1"/>
      <c r="D168" s="1"/>
      <c r="E168" s="1"/>
      <c r="F168" s="2"/>
      <c r="G168" s="2"/>
      <c r="H168" s="2"/>
      <c r="I168" s="5"/>
      <c r="J168" s="5"/>
      <c r="K168" s="5"/>
      <c r="L168" s="5"/>
      <c r="M168" s="5"/>
      <c r="N168" s="5"/>
    </row>
    <row r="169" spans="3:14">
      <c r="C169" s="1"/>
      <c r="D169" s="1"/>
      <c r="E169" s="1"/>
      <c r="F169" s="2"/>
      <c r="G169" s="2"/>
      <c r="H169" s="2"/>
      <c r="I169" s="5"/>
      <c r="J169" s="5"/>
      <c r="K169" s="5"/>
      <c r="L169" s="5"/>
      <c r="M169" s="5"/>
      <c r="N169" s="5"/>
    </row>
    <row r="170" spans="3:14">
      <c r="C170" s="1"/>
      <c r="D170" s="1"/>
      <c r="E170" s="1"/>
      <c r="F170" s="2"/>
      <c r="G170" s="2"/>
      <c r="H170" s="2"/>
      <c r="I170" s="5"/>
      <c r="J170" s="5"/>
      <c r="K170" s="5"/>
      <c r="L170" s="5"/>
      <c r="M170" s="5"/>
      <c r="N170" s="5"/>
    </row>
    <row r="171" spans="3:14">
      <c r="C171" s="1"/>
      <c r="D171" s="1"/>
      <c r="E171" s="1"/>
      <c r="F171" s="2"/>
      <c r="G171" s="2"/>
      <c r="H171" s="2"/>
      <c r="I171" s="5"/>
      <c r="J171" s="5"/>
      <c r="K171" s="5"/>
      <c r="L171" s="5"/>
      <c r="M171" s="5"/>
      <c r="N171" s="5"/>
    </row>
    <row r="172" spans="3:14">
      <c r="C172" s="1"/>
      <c r="D172" s="1"/>
      <c r="E172" s="1"/>
      <c r="F172" s="2"/>
      <c r="G172" s="2"/>
      <c r="H172" s="2"/>
      <c r="I172" s="5"/>
      <c r="J172" s="5"/>
      <c r="K172" s="5"/>
      <c r="L172" s="5"/>
      <c r="M172" s="5"/>
      <c r="N172" s="5"/>
    </row>
    <row r="173" spans="3:14">
      <c r="C173" s="1"/>
      <c r="D173" s="1"/>
      <c r="E173" s="1"/>
      <c r="F173" s="2"/>
      <c r="G173" s="2"/>
      <c r="H173" s="2"/>
      <c r="I173" s="5"/>
      <c r="J173" s="5"/>
      <c r="K173" s="5"/>
      <c r="L173" s="5"/>
      <c r="M173" s="5"/>
      <c r="N173" s="5"/>
    </row>
    <row r="174" spans="3:14">
      <c r="C174" s="1"/>
      <c r="D174" s="1"/>
      <c r="E174" s="1"/>
      <c r="F174" s="2"/>
      <c r="G174" s="2"/>
      <c r="H174" s="2"/>
      <c r="I174" s="5"/>
      <c r="J174" s="5"/>
      <c r="K174" s="5"/>
      <c r="L174" s="5"/>
      <c r="M174" s="5"/>
      <c r="N174" s="5"/>
    </row>
    <row r="175" spans="3:14">
      <c r="C175" s="1"/>
      <c r="D175" s="1"/>
      <c r="E175" s="1"/>
      <c r="F175" s="2"/>
      <c r="G175" s="2"/>
      <c r="H175" s="2"/>
      <c r="I175" s="5"/>
      <c r="J175" s="5"/>
      <c r="K175" s="5"/>
      <c r="L175" s="5"/>
      <c r="M175" s="5"/>
      <c r="N175" s="5"/>
    </row>
    <row r="176" spans="3:14">
      <c r="C176" s="1"/>
      <c r="D176" s="1"/>
      <c r="E176" s="1"/>
      <c r="F176" s="2"/>
      <c r="G176" s="2"/>
      <c r="H176" s="2"/>
      <c r="I176" s="5"/>
      <c r="J176" s="5"/>
      <c r="K176" s="5"/>
      <c r="L176" s="5"/>
      <c r="M176" s="5"/>
      <c r="N176" s="5"/>
    </row>
    <row r="177" spans="3:14">
      <c r="C177" s="1"/>
      <c r="D177" s="1"/>
      <c r="E177" s="1"/>
      <c r="F177" s="2"/>
      <c r="G177" s="2"/>
      <c r="H177" s="2"/>
      <c r="I177" s="5"/>
      <c r="J177" s="5"/>
      <c r="K177" s="5"/>
      <c r="L177" s="5"/>
      <c r="M177" s="5"/>
      <c r="N177" s="5"/>
    </row>
    <row r="178" spans="3:14">
      <c r="C178" s="1"/>
      <c r="D178" s="1"/>
      <c r="E178" s="1"/>
      <c r="F178" s="2"/>
      <c r="G178" s="2"/>
      <c r="H178" s="2"/>
      <c r="I178" s="5"/>
      <c r="J178" s="5"/>
      <c r="K178" s="5"/>
      <c r="L178" s="5"/>
      <c r="M178" s="5"/>
      <c r="N178" s="5"/>
    </row>
    <row r="179" spans="3:14">
      <c r="C179" s="1"/>
      <c r="D179" s="1"/>
      <c r="E179" s="1"/>
      <c r="F179" s="2"/>
      <c r="G179" s="2"/>
      <c r="H179" s="2"/>
      <c r="I179" s="5"/>
      <c r="J179" s="5"/>
      <c r="K179" s="5"/>
      <c r="L179" s="5"/>
      <c r="M179" s="5"/>
      <c r="N179" s="5"/>
    </row>
    <row r="180" spans="3:14">
      <c r="C180" s="1"/>
      <c r="D180" s="1"/>
      <c r="E180" s="1"/>
      <c r="F180" s="2"/>
      <c r="G180" s="2"/>
      <c r="H180" s="2"/>
      <c r="I180" s="5"/>
      <c r="J180" s="5"/>
      <c r="K180" s="5"/>
      <c r="L180" s="5"/>
      <c r="M180" s="5"/>
      <c r="N180" s="5"/>
    </row>
    <row r="181" spans="3:14">
      <c r="C181" s="1"/>
      <c r="D181" s="1"/>
      <c r="E181" s="1"/>
      <c r="F181" s="2"/>
      <c r="G181" s="2"/>
      <c r="H181" s="2"/>
      <c r="I181" s="5"/>
      <c r="J181" s="5"/>
      <c r="K181" s="5"/>
      <c r="L181" s="5"/>
      <c r="M181" s="5"/>
      <c r="N181" s="5"/>
    </row>
    <row r="182" spans="3:14">
      <c r="C182" s="1"/>
      <c r="D182" s="1"/>
      <c r="E182" s="1"/>
      <c r="F182" s="2"/>
      <c r="G182" s="2"/>
      <c r="H182" s="2"/>
      <c r="I182" s="5"/>
      <c r="J182" s="5"/>
      <c r="K182" s="5"/>
      <c r="L182" s="5"/>
      <c r="M182" s="5"/>
      <c r="N182" s="5"/>
    </row>
    <row r="183" spans="3:14">
      <c r="C183" s="1"/>
      <c r="D183" s="1"/>
      <c r="E183" s="1"/>
      <c r="F183" s="2"/>
      <c r="G183" s="2"/>
      <c r="H183" s="2"/>
      <c r="I183" s="5"/>
      <c r="J183" s="5"/>
      <c r="K183" s="5"/>
      <c r="L183" s="5"/>
      <c r="M183" s="5"/>
      <c r="N183" s="5"/>
    </row>
    <row r="184" spans="3:14">
      <c r="C184" s="1"/>
      <c r="D184" s="1"/>
      <c r="E184" s="1"/>
      <c r="F184" s="2"/>
      <c r="G184" s="2"/>
      <c r="H184" s="2"/>
      <c r="I184" s="5"/>
      <c r="J184" s="5"/>
      <c r="K184" s="5"/>
      <c r="L184" s="5"/>
      <c r="M184" s="5"/>
      <c r="N184" s="5"/>
    </row>
    <row r="185" spans="3:14">
      <c r="C185" s="1"/>
      <c r="D185" s="1"/>
      <c r="E185" s="1"/>
      <c r="F185" s="2"/>
      <c r="G185" s="2"/>
      <c r="H185" s="2"/>
      <c r="I185" s="5"/>
      <c r="J185" s="5"/>
      <c r="K185" s="5"/>
      <c r="L185" s="5"/>
      <c r="M185" s="5"/>
      <c r="N185" s="5"/>
    </row>
    <row r="186" spans="3:14">
      <c r="C186" s="1"/>
      <c r="D186" s="1"/>
      <c r="E186" s="1"/>
      <c r="F186" s="2"/>
      <c r="G186" s="2"/>
      <c r="H186" s="2"/>
      <c r="I186" s="5"/>
      <c r="J186" s="5"/>
      <c r="K186" s="5"/>
      <c r="L186" s="5"/>
      <c r="M186" s="5"/>
      <c r="N186" s="5"/>
    </row>
    <row r="187" spans="3:14">
      <c r="C187" s="1"/>
      <c r="D187" s="1"/>
      <c r="E187" s="1"/>
      <c r="F187" s="2"/>
      <c r="G187" s="2"/>
      <c r="H187" s="2"/>
      <c r="I187" s="5"/>
      <c r="J187" s="5"/>
      <c r="K187" s="5"/>
      <c r="L187" s="5"/>
      <c r="M187" s="5"/>
      <c r="N187" s="5"/>
    </row>
    <row r="188" spans="3:14">
      <c r="C188" s="1"/>
      <c r="D188" s="1"/>
      <c r="E188" s="1"/>
      <c r="F188" s="2"/>
      <c r="G188" s="2"/>
      <c r="H188" s="2"/>
      <c r="I188" s="5"/>
      <c r="J188" s="5"/>
      <c r="K188" s="5"/>
      <c r="L188" s="5"/>
      <c r="M188" s="5"/>
      <c r="N188" s="5"/>
    </row>
    <row r="189" spans="3:14">
      <c r="C189" s="1"/>
      <c r="D189" s="1"/>
      <c r="E189" s="1"/>
      <c r="F189" s="2"/>
      <c r="G189" s="2"/>
      <c r="H189" s="2"/>
      <c r="I189" s="5"/>
      <c r="J189" s="5"/>
      <c r="K189" s="5"/>
      <c r="L189" s="5"/>
      <c r="M189" s="5"/>
      <c r="N189" s="5"/>
    </row>
    <row r="190" spans="3:14">
      <c r="C190" s="1"/>
      <c r="D190" s="1"/>
      <c r="E190" s="1"/>
      <c r="F190" s="2"/>
      <c r="G190" s="2"/>
      <c r="H190" s="2"/>
      <c r="I190" s="5"/>
      <c r="J190" s="5"/>
      <c r="K190" s="5"/>
      <c r="L190" s="5"/>
      <c r="M190" s="5"/>
      <c r="N190" s="5"/>
    </row>
    <row r="191" spans="3:14">
      <c r="C191" s="1"/>
      <c r="D191" s="1"/>
      <c r="E191" s="1"/>
      <c r="F191" s="2"/>
      <c r="G191" s="2"/>
      <c r="H191" s="2"/>
      <c r="I191" s="5"/>
      <c r="J191" s="5"/>
      <c r="K191" s="5"/>
      <c r="L191" s="5"/>
      <c r="M191" s="5"/>
      <c r="N191" s="5"/>
    </row>
    <row r="192" spans="3:14">
      <c r="C192" s="1"/>
      <c r="D192" s="1"/>
      <c r="E192" s="1"/>
      <c r="F192" s="2"/>
      <c r="G192" s="2"/>
      <c r="H192" s="2"/>
      <c r="I192" s="5"/>
      <c r="J192" s="5"/>
      <c r="K192" s="5"/>
      <c r="L192" s="5"/>
      <c r="M192" s="5"/>
      <c r="N192" s="5"/>
    </row>
    <row r="193" spans="3:14">
      <c r="C193" s="1"/>
      <c r="D193" s="1"/>
      <c r="E193" s="1"/>
      <c r="F193" s="2"/>
      <c r="G193" s="2"/>
      <c r="H193" s="2"/>
      <c r="I193" s="5"/>
      <c r="J193" s="5"/>
      <c r="K193" s="5"/>
      <c r="L193" s="5"/>
      <c r="M193" s="5"/>
      <c r="N193" s="5"/>
    </row>
    <row r="194" spans="3:14">
      <c r="C194" s="1"/>
      <c r="D194" s="1"/>
      <c r="E194" s="1"/>
      <c r="F194" s="2"/>
      <c r="G194" s="2"/>
      <c r="H194" s="2"/>
      <c r="I194" s="5"/>
      <c r="J194" s="5"/>
      <c r="K194" s="5"/>
      <c r="L194" s="5"/>
      <c r="M194" s="5"/>
      <c r="N194" s="5"/>
    </row>
    <row r="195" spans="3:14">
      <c r="C195" s="1"/>
      <c r="D195" s="1"/>
      <c r="E195" s="1"/>
      <c r="F195" s="2"/>
      <c r="G195" s="2"/>
      <c r="H195" s="2"/>
      <c r="I195" s="5"/>
      <c r="J195" s="5"/>
      <c r="K195" s="5"/>
      <c r="L195" s="5"/>
      <c r="M195" s="5"/>
      <c r="N195" s="5"/>
    </row>
    <row r="196" spans="3:14">
      <c r="C196" s="1"/>
      <c r="D196" s="1"/>
      <c r="E196" s="1"/>
      <c r="F196" s="2"/>
      <c r="G196" s="2"/>
      <c r="H196" s="2"/>
      <c r="I196" s="5"/>
      <c r="J196" s="5"/>
      <c r="K196" s="5"/>
      <c r="L196" s="5"/>
      <c r="M196" s="5"/>
      <c r="N196" s="5"/>
    </row>
    <row r="197" spans="3:14">
      <c r="C197" s="1"/>
      <c r="D197" s="1"/>
      <c r="E197" s="1"/>
      <c r="F197" s="2"/>
      <c r="G197" s="2"/>
      <c r="H197" s="2"/>
      <c r="I197" s="5"/>
      <c r="J197" s="5"/>
      <c r="K197" s="5"/>
      <c r="L197" s="5"/>
      <c r="M197" s="5"/>
      <c r="N197" s="5"/>
    </row>
    <row r="198" spans="3:14">
      <c r="C198" s="1"/>
      <c r="D198" s="1"/>
      <c r="E198" s="1"/>
      <c r="F198" s="2"/>
      <c r="G198" s="2"/>
      <c r="H198" s="2"/>
      <c r="I198" s="5"/>
      <c r="J198" s="5"/>
      <c r="K198" s="5"/>
      <c r="L198" s="5"/>
      <c r="M198" s="5"/>
      <c r="N198" s="5"/>
    </row>
    <row r="199" spans="3:14">
      <c r="C199" s="1"/>
      <c r="D199" s="1"/>
      <c r="E199" s="1"/>
      <c r="F199" s="2"/>
      <c r="G199" s="2"/>
      <c r="H199" s="2"/>
      <c r="I199" s="5"/>
      <c r="J199" s="5"/>
      <c r="K199" s="5"/>
      <c r="L199" s="5"/>
      <c r="M199" s="5"/>
      <c r="N199" s="5"/>
    </row>
    <row r="200" spans="3:14">
      <c r="C200" s="1"/>
      <c r="D200" s="1"/>
      <c r="E200" s="1"/>
      <c r="F200" s="2"/>
      <c r="G200" s="2"/>
      <c r="H200" s="2"/>
      <c r="I200" s="5"/>
      <c r="J200" s="5"/>
      <c r="K200" s="5"/>
      <c r="L200" s="5"/>
      <c r="M200" s="5"/>
      <c r="N200" s="5"/>
    </row>
    <row r="201" spans="3:14">
      <c r="C201" s="1"/>
      <c r="D201" s="1"/>
      <c r="E201" s="1"/>
      <c r="F201" s="2"/>
      <c r="G201" s="2"/>
      <c r="H201" s="2"/>
      <c r="I201" s="5"/>
      <c r="J201" s="5"/>
      <c r="K201" s="5"/>
      <c r="L201" s="5"/>
      <c r="M201" s="5"/>
      <c r="N201" s="5"/>
    </row>
    <row r="202" spans="3:14">
      <c r="C202" s="1"/>
      <c r="D202" s="1"/>
      <c r="E202" s="1"/>
      <c r="F202" s="2"/>
      <c r="G202" s="2"/>
      <c r="H202" s="2"/>
      <c r="I202" s="5"/>
      <c r="J202" s="5"/>
      <c r="K202" s="5"/>
      <c r="L202" s="5"/>
      <c r="M202" s="5"/>
      <c r="N202" s="5"/>
    </row>
    <row r="203" spans="3:14">
      <c r="C203" s="1"/>
      <c r="D203" s="1"/>
      <c r="E203" s="1"/>
      <c r="F203" s="2"/>
      <c r="G203" s="2"/>
      <c r="H203" s="2"/>
      <c r="I203" s="5"/>
      <c r="J203" s="5"/>
      <c r="K203" s="5"/>
      <c r="L203" s="5"/>
      <c r="M203" s="5"/>
      <c r="N203" s="5"/>
    </row>
  </sheetData>
  <customSheetViews>
    <customSheetView guid="{4ABB2F90-749A-4A03-B785-9424E18CA411}" showPageBreaks="1" showRowCol="0" printArea="1" topLeftCell="A3">
      <selection activeCell="M28" sqref="M28"/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B7C9-6A51-444A-B011-307D63D7A4BC}">
  <dimension ref="A1:I23"/>
  <sheetViews>
    <sheetView workbookViewId="0">
      <selection activeCell="Q16" sqref="Q16"/>
    </sheetView>
  </sheetViews>
  <sheetFormatPr defaultColWidth="11" defaultRowHeight="15.6"/>
  <sheetData>
    <row r="1" spans="1:9">
      <c r="A1" t="s">
        <v>78</v>
      </c>
      <c r="B1" t="s">
        <v>79</v>
      </c>
      <c r="C1" t="s">
        <v>79</v>
      </c>
    </row>
    <row r="2" spans="1:9">
      <c r="A2" t="s">
        <v>18</v>
      </c>
      <c r="B2" t="s">
        <v>80</v>
      </c>
      <c r="C2" t="s">
        <v>81</v>
      </c>
    </row>
    <row r="3" spans="1:9">
      <c r="A3">
        <v>0</v>
      </c>
      <c r="B3" s="1">
        <f>12756*ACOS(6378/(6378+A3))</f>
        <v>0</v>
      </c>
      <c r="C3" s="1">
        <f>B3/1.60934</f>
        <v>0</v>
      </c>
    </row>
    <row r="4" spans="1:9">
      <c r="A4">
        <f>25+A3</f>
        <v>25</v>
      </c>
      <c r="B4" s="1">
        <f t="shared" ref="B4:B23" si="0">12756*ACOS(6378/(6378+A4))</f>
        <v>1127.5846853954656</v>
      </c>
      <c r="C4" s="1">
        <f t="shared" ref="C4:C23" si="1">B4/1.60934</f>
        <v>700.65038176859184</v>
      </c>
    </row>
    <row r="5" spans="1:9">
      <c r="A5">
        <f t="shared" ref="A5:A23" si="2">25+A4</f>
        <v>50</v>
      </c>
      <c r="B5" s="1">
        <f t="shared" si="0"/>
        <v>1592.0565542887389</v>
      </c>
      <c r="C5" s="1">
        <f t="shared" si="1"/>
        <v>989.26053803965533</v>
      </c>
    </row>
    <row r="6" spans="1:9">
      <c r="A6">
        <f t="shared" si="2"/>
        <v>75</v>
      </c>
      <c r="B6" s="1">
        <f t="shared" si="0"/>
        <v>1946.7081140094199</v>
      </c>
      <c r="C6" s="1">
        <f t="shared" si="1"/>
        <v>1209.6313482604173</v>
      </c>
    </row>
    <row r="7" spans="1:9">
      <c r="A7">
        <f t="shared" si="2"/>
        <v>100</v>
      </c>
      <c r="B7" s="1">
        <f t="shared" si="0"/>
        <v>2244.2400229472796</v>
      </c>
      <c r="C7" s="1">
        <f t="shared" si="1"/>
        <v>1394.5095647577762</v>
      </c>
    </row>
    <row r="8" spans="1:9">
      <c r="A8">
        <f t="shared" si="2"/>
        <v>125</v>
      </c>
      <c r="B8" s="1">
        <f t="shared" si="0"/>
        <v>2505.1040331939666</v>
      </c>
      <c r="C8" s="1">
        <f t="shared" si="1"/>
        <v>1556.6033486982035</v>
      </c>
    </row>
    <row r="9" spans="1:9">
      <c r="A9">
        <f t="shared" si="2"/>
        <v>150</v>
      </c>
      <c r="B9" s="1">
        <f t="shared" si="0"/>
        <v>2739.8083823527236</v>
      </c>
      <c r="C9" s="1">
        <f t="shared" si="1"/>
        <v>1702.4422324385919</v>
      </c>
    </row>
    <row r="10" spans="1:9">
      <c r="A10">
        <f t="shared" si="2"/>
        <v>175</v>
      </c>
      <c r="B10" s="1">
        <f t="shared" si="0"/>
        <v>2954.6069415598331</v>
      </c>
      <c r="C10" s="1">
        <f t="shared" si="1"/>
        <v>1835.9122010015492</v>
      </c>
      <c r="D10" t="s">
        <v>82</v>
      </c>
      <c r="E10" t="s">
        <v>83</v>
      </c>
    </row>
    <row r="11" spans="1:9">
      <c r="A11">
        <f t="shared" si="2"/>
        <v>200</v>
      </c>
      <c r="B11" s="1">
        <f t="shared" si="0"/>
        <v>3153.5820018706017</v>
      </c>
      <c r="C11" s="1">
        <f t="shared" si="1"/>
        <v>1959.5498787519118</v>
      </c>
      <c r="D11" t="s">
        <v>13</v>
      </c>
      <c r="E11" t="s">
        <v>14</v>
      </c>
      <c r="F11" t="s">
        <v>12</v>
      </c>
      <c r="G11" t="s">
        <v>11</v>
      </c>
    </row>
    <row r="12" spans="1:9">
      <c r="A12">
        <f t="shared" si="2"/>
        <v>225</v>
      </c>
      <c r="B12" s="1">
        <f t="shared" si="0"/>
        <v>3339.5744270557761</v>
      </c>
      <c r="C12" s="1">
        <f t="shared" si="1"/>
        <v>2075.1205009853579</v>
      </c>
      <c r="D12" s="5">
        <f>(A12-145.5)/454.5</f>
        <v>0.17491749174917492</v>
      </c>
      <c r="E12" s="5">
        <f>(A12-153.8)/153.1</f>
        <v>0.46505551926845196</v>
      </c>
      <c r="F12" s="5">
        <f>(A12-119.5)/169.5</f>
        <v>0.6224188790560472</v>
      </c>
      <c r="G12" s="5">
        <f>(A12-133.7)/232.6</f>
        <v>0.39251934651762688</v>
      </c>
      <c r="H12" s="5"/>
      <c r="I12" s="5"/>
    </row>
    <row r="13" spans="1:9">
      <c r="A13">
        <f t="shared" si="2"/>
        <v>250</v>
      </c>
      <c r="B13" s="1">
        <f t="shared" si="0"/>
        <v>3514.6565279058213</v>
      </c>
      <c r="C13" s="1">
        <f t="shared" si="1"/>
        <v>2183.911745128948</v>
      </c>
      <c r="D13" s="5">
        <f t="shared" ref="D13:D18" si="3">(A13-145.5)/454.5</f>
        <v>0.22992299229922991</v>
      </c>
      <c r="E13" s="5">
        <f t="shared" ref="E13:E18" si="4">(A13-153.8)/153.1</f>
        <v>0.62834748530372297</v>
      </c>
      <c r="F13" s="5">
        <f t="shared" ref="F13:F18" si="5">(A13-119.5)/169.5</f>
        <v>0.76991150442477874</v>
      </c>
      <c r="G13" s="5">
        <f t="shared" ref="G13:G18" si="6">(A13-133.7)/232.6</f>
        <v>0.50000000000000011</v>
      </c>
      <c r="H13" s="5"/>
      <c r="I13" s="5"/>
    </row>
    <row r="14" spans="1:9">
      <c r="A14">
        <f t="shared" si="2"/>
        <v>275</v>
      </c>
      <c r="B14" s="1">
        <f t="shared" si="0"/>
        <v>3680.3957023079779</v>
      </c>
      <c r="C14" s="1">
        <f t="shared" si="1"/>
        <v>2286.8975494972956</v>
      </c>
      <c r="D14" s="5">
        <f t="shared" si="3"/>
        <v>0.28492849284928495</v>
      </c>
      <c r="E14" s="5">
        <f t="shared" si="4"/>
        <v>0.79163945133899405</v>
      </c>
      <c r="F14" s="5">
        <f t="shared" si="5"/>
        <v>0.91740412979351027</v>
      </c>
      <c r="G14" s="5">
        <f t="shared" si="6"/>
        <v>0.60748065348237323</v>
      </c>
      <c r="H14" s="5"/>
      <c r="I14" s="5"/>
    </row>
    <row r="15" spans="1:9">
      <c r="A15">
        <f t="shared" si="2"/>
        <v>300</v>
      </c>
      <c r="B15" s="1">
        <f t="shared" si="0"/>
        <v>3838.0119928861131</v>
      </c>
      <c r="C15" s="1">
        <f t="shared" si="1"/>
        <v>2384.8360153144226</v>
      </c>
      <c r="D15" s="5">
        <f t="shared" si="3"/>
        <v>0.33993399339933994</v>
      </c>
      <c r="E15" s="5">
        <f t="shared" si="4"/>
        <v>0.95493141737426512</v>
      </c>
      <c r="F15" s="5">
        <f t="shared" si="5"/>
        <v>1.0648967551622419</v>
      </c>
      <c r="G15" s="5">
        <f t="shared" si="6"/>
        <v>0.71496130696474636</v>
      </c>
      <c r="H15" s="5"/>
      <c r="I15" s="5"/>
    </row>
    <row r="16" spans="1:9">
      <c r="A16">
        <f t="shared" si="2"/>
        <v>325</v>
      </c>
      <c r="B16" s="1">
        <f t="shared" si="0"/>
        <v>3988.477505610289</v>
      </c>
      <c r="C16" s="1">
        <f t="shared" si="1"/>
        <v>2478.3311827272601</v>
      </c>
      <c r="D16" s="5">
        <f t="shared" si="3"/>
        <v>0.39493949394939493</v>
      </c>
      <c r="E16" s="5">
        <f t="shared" si="4"/>
        <v>1.1182233834095363</v>
      </c>
      <c r="F16" s="5">
        <f t="shared" si="5"/>
        <v>1.2123893805309736</v>
      </c>
      <c r="G16" s="5">
        <f t="shared" si="6"/>
        <v>0.82244196044711959</v>
      </c>
      <c r="H16" s="5"/>
      <c r="I16" s="5"/>
    </row>
    <row r="17" spans="1:9">
      <c r="A17">
        <f t="shared" si="2"/>
        <v>350</v>
      </c>
      <c r="B17" s="1">
        <f t="shared" si="0"/>
        <v>4132.5819493138433</v>
      </c>
      <c r="C17" s="1">
        <f t="shared" si="1"/>
        <v>2567.8737552747357</v>
      </c>
      <c r="D17" s="5">
        <f t="shared" si="3"/>
        <v>0.44994499449944997</v>
      </c>
      <c r="E17" s="5">
        <f t="shared" si="4"/>
        <v>1.2815153494448073</v>
      </c>
      <c r="F17" s="5">
        <f t="shared" si="5"/>
        <v>1.359882005899705</v>
      </c>
      <c r="G17" s="5">
        <f t="shared" si="6"/>
        <v>0.92992261392949271</v>
      </c>
      <c r="H17" s="5"/>
      <c r="I17" s="5"/>
    </row>
    <row r="18" spans="1:9">
      <c r="A18">
        <f t="shared" si="2"/>
        <v>375</v>
      </c>
      <c r="B18" s="1">
        <f t="shared" si="0"/>
        <v>4270.9774271674942</v>
      </c>
      <c r="C18" s="1">
        <f t="shared" si="1"/>
        <v>2653.8689320886165</v>
      </c>
      <c r="D18" s="5">
        <f t="shared" si="3"/>
        <v>0.50495049504950495</v>
      </c>
      <c r="E18" s="5">
        <f t="shared" si="4"/>
        <v>1.4448073154800785</v>
      </c>
      <c r="F18" s="5">
        <f t="shared" si="5"/>
        <v>1.5073746312684366</v>
      </c>
      <c r="G18" s="5">
        <f t="shared" si="6"/>
        <v>1.0374032674118658</v>
      </c>
      <c r="H18" s="5"/>
      <c r="I18" s="5"/>
    </row>
    <row r="19" spans="1:9">
      <c r="A19">
        <f t="shared" si="2"/>
        <v>400</v>
      </c>
      <c r="B19" s="1">
        <f t="shared" si="0"/>
        <v>4404.2099881130362</v>
      </c>
      <c r="C19" s="1">
        <f t="shared" si="1"/>
        <v>2736.6560130942103</v>
      </c>
    </row>
    <row r="20" spans="1:9">
      <c r="A20">
        <f t="shared" si="2"/>
        <v>425</v>
      </c>
      <c r="B20" s="1">
        <f t="shared" si="0"/>
        <v>4532.7424314224281</v>
      </c>
      <c r="C20" s="1">
        <f t="shared" si="1"/>
        <v>2816.5225691416531</v>
      </c>
    </row>
    <row r="21" spans="1:9">
      <c r="A21">
        <f t="shared" si="2"/>
        <v>450</v>
      </c>
      <c r="B21" s="1">
        <f t="shared" si="0"/>
        <v>4656.9711590344486</v>
      </c>
      <c r="C21" s="1">
        <f t="shared" si="1"/>
        <v>2893.7149135884579</v>
      </c>
    </row>
    <row r="22" spans="1:9">
      <c r="A22">
        <f t="shared" si="2"/>
        <v>475</v>
      </c>
      <c r="B22" s="1">
        <f t="shared" si="0"/>
        <v>4777.2388723209979</v>
      </c>
      <c r="C22" s="1">
        <f t="shared" si="1"/>
        <v>2968.4459917239351</v>
      </c>
    </row>
    <row r="23" spans="1:9">
      <c r="A23">
        <f t="shared" si="2"/>
        <v>500</v>
      </c>
      <c r="B23" s="1">
        <f t="shared" si="0"/>
        <v>4893.8443019480974</v>
      </c>
      <c r="C23" s="1">
        <f t="shared" si="1"/>
        <v>3040.9014266395525</v>
      </c>
    </row>
  </sheetData>
  <customSheetViews>
    <customSheetView guid="{4ABB2F90-749A-4A03-B785-9424E18CA411}">
      <selection activeCell="Q16" sqref="Q16"/>
      <pageMargins left="0" right="0" top="0" bottom="0" header="0" footer="0"/>
      <pageSetup orientation="portrait" horizontalDpi="0" verticalDpi="0"/>
    </customSheetView>
  </customSheetView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CERWIN</dc:creator>
  <cp:keywords/>
  <dc:description/>
  <cp:lastModifiedBy>STEVE CERWIN</cp:lastModifiedBy>
  <cp:revision/>
  <dcterms:created xsi:type="dcterms:W3CDTF">2021-11-22T13:51:44Z</dcterms:created>
  <dcterms:modified xsi:type="dcterms:W3CDTF">2025-10-09T15:21:19Z</dcterms:modified>
  <cp:category/>
  <cp:contentStatus/>
</cp:coreProperties>
</file>